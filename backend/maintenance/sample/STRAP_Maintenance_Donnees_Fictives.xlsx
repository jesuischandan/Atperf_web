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4d6752d494f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RE_MOI" sheetId="1" r:id="Rb5480ce4a3244667"/>
    <x:sheet xmlns:r="http://schemas.openxmlformats.org/officeDocument/2006/relationships" name="PARAMETRES" sheetId="2" r:id="Re8e66d47c1ae4d1a"/>
    <x:sheet xmlns:r="http://schemas.openxmlformats.org/officeDocument/2006/relationships" name="EQUIPEMENTS" sheetId="3" r:id="R10f17cda10484bac"/>
    <x:sheet xmlns:r="http://schemas.openxmlformats.org/officeDocument/2006/relationships" name="AVIS_HISTO" sheetId="4" r:id="R03b1d0c64dbd4fba"/>
    <x:sheet xmlns:r="http://schemas.openxmlformats.org/officeDocument/2006/relationships" name="OT_HISTO" sheetId="5" r:id="R027aa592f132409c"/>
    <x:sheet xmlns:r="http://schemas.openxmlformats.org/officeDocument/2006/relationships" name="LIENS_JAUNE_ROUGE" sheetId="6" r:id="R76091ae2f5f44462"/>
    <x:sheet xmlns:r="http://schemas.openxmlformats.org/officeDocument/2006/relationships" name="MATRICE_SCORE" sheetId="7" r:id="Rb14552d99791477d"/>
    <x:sheet xmlns:r="http://schemas.openxmlformats.org/officeDocument/2006/relationships" name="COCKPIT" sheetId="8" r:id="Rb18a3731ccca49a0"/>
    <x:sheet xmlns:r="http://schemas.openxmlformats.org/officeDocument/2006/relationships" name="SCENARIOS_TEST" sheetId="9" r:id="R9fad4bfe07e94e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FF0CF"/>
      </x:patternFill>
    </x:fill>
    <x:fill>
      <x:patternFill patternType="solid">
        <x:fgColor rgb="FFFFF3D7"/>
      </x:patternFill>
    </x:fill>
    <x:fill>
      <x:patternFill patternType="solid">
        <x:fgColor rgb="FFE5F4EF"/>
      </x:patternFill>
    </x:fill>
    <x:fill>
      <x:patternFill patternType="solid">
        <x:fgColor rgb="FF16648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e3484482e4d2e" /><Relationship Type="http://schemas.openxmlformats.org/officeDocument/2006/relationships/theme" Target="/xl/theme/theme1.xml" Id="R077f5201edf64a4d" /><Relationship Type="http://schemas.openxmlformats.org/officeDocument/2006/relationships/sharedStrings" Target="/xl/sharedStrings.xml" Id="R44aa098b27d047a0" /><Relationship Type="http://schemas.openxmlformats.org/officeDocument/2006/relationships/worksheet" Target="/xl/worksheets/sheet1.xml" Id="Rb5480ce4a3244667" /><Relationship Type="http://schemas.openxmlformats.org/officeDocument/2006/relationships/worksheet" Target="/xl/worksheets/sheet2.xml" Id="Re8e66d47c1ae4d1a" /><Relationship Type="http://schemas.openxmlformats.org/officeDocument/2006/relationships/worksheet" Target="/xl/worksheets/sheet3.xml" Id="R10f17cda10484bac" /><Relationship Type="http://schemas.openxmlformats.org/officeDocument/2006/relationships/worksheet" Target="/xl/worksheets/sheet4.xml" Id="R03b1d0c64dbd4fba" /><Relationship Type="http://schemas.openxmlformats.org/officeDocument/2006/relationships/worksheet" Target="/xl/worksheets/sheet5.xml" Id="R027aa592f132409c" /><Relationship Type="http://schemas.openxmlformats.org/officeDocument/2006/relationships/worksheet" Target="/xl/worksheets/sheet6.xml" Id="R76091ae2f5f44462" /><Relationship Type="http://schemas.openxmlformats.org/officeDocument/2006/relationships/worksheet" Target="/xl/worksheets/sheet7.xml" Id="Rb14552d99791477d" /><Relationship Type="http://schemas.openxmlformats.org/officeDocument/2006/relationships/worksheet" Target="/xl/worksheets/sheet8.xml" Id="Rb18a3731ccca49a0" /><Relationship Type="http://schemas.openxmlformats.org/officeDocument/2006/relationships/worksheet" Target="/xl/worksheets/sheet9.xml" Id="R9fad4bfe07e94e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16" hidden="0" customWidth="1"/>
  </x:cols>
  <x:sheetData>
    <x:row r="1" ht="38" customHeight="1">
      <x:c r="A1" s="5" t="str">
        <x:v>STRAP MAINTENANCE | PROTOTYPE — JEU DE DONNEES 100 % FICTIF</x:v>
      </x:c>
      <x:c r="B1" s="5" t="str"/>
    </x:row>
    <x:row r="2" ht="23" customHeight="1">
      <x:c r="A2" t="str">
        <x:v>OBJECTIF</x:v>
      </x:c>
      <x:c r="B2" t="str">
        <x:v>Tester si certains Avis jaunes ouverts ou différés précèdent des OT rouges de panne sur le même équipement / sous-ensemble.</x:v>
      </x:c>
    </x:row>
    <x:row r="3" ht="23" customHeight="1">
      <x:c r="A3" t="str">
        <x:v>PERIMETRE</x:v>
      </x:c>
      <x:c r="B3" t="str">
        <x:v>Jeu synthétique créé pour le prototype. Aucun enregistrement SAP réel Aperam / ArcelorMittal.</x:v>
      </x:c>
    </x:row>
    <x:row r="4" ht="23" customHeight="1">
      <x:c r="A4" t="str">
        <x:v>ORDRE DE LECTURE</x:v>
      </x:c>
      <x:c r="B4" t="str">
        <x:v>EQUIPEMENTS → AVIS_HISTO → OT_HISTO → LIENS_JAUNE_ROUGE → MATRICE_SCORE → COCKPIT.</x:v>
      </x:c>
    </x:row>
    <x:row r="5" ht="23" customHeight="1">
      <x:c r="A5" t="str">
        <x:v>FLUX ROUGE</x:v>
      </x:c>
      <x:c r="B5" t="str">
        <x:v>Pannes et urgences correctives. Les OT rouges constituent les événements de référence historiques.</x:v>
      </x:c>
    </x:row>
    <x:row r="6" ht="23" customHeight="1">
      <x:c r="A6" t="str">
        <x:v>FLUX VERT</x:v>
      </x:c>
      <x:c r="B6" t="str">
        <x:v>Maintenance préventive / travaux planifiés. Témoins de fonctionnement normal et activité planifiée.</x:v>
      </x:c>
    </x:row>
    <x:row r="7" ht="23" customHeight="1">
      <x:c r="A7" t="str">
        <x:v>FLUX JAUNE</x:v>
      </x:c>
      <x:c r="B7" t="str">
        <x:v>Anomalies, Avis différés, interventions d’opportunité, parfois toujours ouverts.</x:v>
      </x:c>
    </x:row>
    <x:row r="8" ht="23" customHeight="1">
      <x:c r="A8" t="str">
        <x:v>REGLE D’OR</x:v>
      </x:c>
      <x:c r="B8" t="str">
        <x:v>Un Avis jaune antérieur sur le même équipement ne prouve PAS qu’il a causé la panne rouge.</x:v>
      </x:c>
    </x:row>
    <x:row r="9" ht="23" customHeight="1">
      <x:c r="A9" t="str">
        <x:v>VALIDATION</x:v>
      </x:c>
      <x:c r="B9" t="str">
        <x:v>Les liens sont des hypothèses ou des liens fictivement validés par expert, jamais des causalités automatiquement prouvées.</x:v>
      </x:c>
    </x:row>
    <x:row r="10" ht="23" customHeight="1">
      <x:c r="A10" t="str">
        <x:v>SCORE / 100</x:v>
      </x:c>
      <x:c r="B10" t="str">
        <x:v>6 notes de 0 à 5 ; pondérations PARAMETRES ; calcul par formule dans MATRICE_SCORE.</x:v>
      </x:c>
    </x:row>
    <x:row r="11" ht="23" customHeight="1">
      <x:c r="A11" t="str">
        <x:v>RISQUE DE FUITE</x:v>
      </x:c>
      <x:c r="B11" t="str">
        <x:v>Pour simuler un scoring à une date T, n’utiliser QUE les données disponibles avant T. Les OT rouges futurs ne doivent jamais entrer dans les notes.</x:v>
      </x:c>
    </x:row>
    <x:row r="12" ht="23" customHeight="1">
      <x:c r="A12" t="str">
        <x:v>PILOTE REEL</x:v>
      </x:c>
      <x:c r="B12" t="str">
        <x:v>Autorisation du propriétaire des données requise. Extraire identifiants, dates, statuts, textes, équipements, OT, causes, clôtures.</x:v>
      </x:c>
    </x:row>
    <x:row r="13" ht="23" customHeight="1">
      <x:c r="A13" t="str">
        <x:v>INDICATEURS</x:v>
      </x:c>
      <x:c r="B13" t="str">
        <x:v>Rappel, précision des alertes, délai d’anticipation, faux positifs, alertes par semaine et temps d’analyse.</x:v>
      </x:c>
    </x:row>
    <x:row r="14" ht="23" customHeight="1">
      <x:c r="A14" t="str">
        <x:v>HORS SCOPE</x:v>
      </x:c>
      <x:c r="B14" t="str">
        <x:v>Pas de LCC, pas de coût économique, pas de connexion SAP temps réel, pas de création automatique d’OT.</x:v>
      </x:c>
    </x:row>
    <x:row r="15" ht="23" customHeight="1">
      <x:c r="A15" t="str">
        <x:v>IMPORTANT</x:v>
      </x:c>
      <x:c r="B15" t="str">
        <x:v>Les scores, causes, liens et dates du classeur sont inventés pour illustrer les tests logiciels.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0" hidden="0" customWidth="1"/>
    <x:col min="3" max="3" width="69" hidden="0" customWidth="1"/>
    <x:col min="4" max="4" width="36" hidden="0" customWidth="1"/>
  </x:cols>
  <x:sheetData>
    <x:row r="1" ht="34" customHeight="1">
      <x:c r="A1" s="5" t="str">
        <x:v>Critère</x:v>
      </x:c>
      <x:c r="B1" s="5" t="str">
        <x:v>Poids points /100</x:v>
      </x:c>
      <x:c r="C1" s="5" t="str">
        <x:v>Définition note 0–5</x:v>
      </x:c>
      <x:c r="D1" s="5" t="str">
        <x:v>Origine envisagée</x:v>
      </x:c>
    </x:row>
    <x:row r="2" ht="23" customHeight="1">
      <x:c r="A2" t="str">
        <x:v>Criticité</x:v>
      </x:c>
      <x:c r="B2" s="10" t="n">
        <x:v>25</x:v>
      </x:c>
      <x:c r="C2" t="str">
        <x:v>0 faible ; 5 équipement vital / impact sécurité-production</x:v>
      </x:c>
      <x:c r="D2" t="str">
        <x:v>Référentiel équipements</x:v>
      </x:c>
    </x:row>
    <x:row r="3" ht="23" customHeight="1">
      <x:c r="A3" t="str">
        <x:v>Récurrence</x:v>
      </x:c>
      <x:c r="B3" s="10" t="n">
        <x:v>20</x:v>
      </x:c>
      <x:c r="C3" t="str">
        <x:v>0 aucun précédent ; 5 répétitions nombreuses sur fenêtre historique</x:v>
      </x:c>
      <x:c r="D3" t="str">
        <x:v>Avis antérieurs uniquement</x:v>
      </x:c>
    </x:row>
    <x:row r="4" ht="23" customHeight="1">
      <x:c r="A4" t="str">
        <x:v>Similarité historique</x:v>
      </x:c>
      <x:c r="B4" s="10" t="n">
        <x:v>20</x:v>
      </x:c>
      <x:c r="C4" t="str">
        <x:v>0 aucun motif comparable ; 5 symptômes proches de pannes antérieures connues</x:v>
      </x:c>
      <x:c r="D4" t="str">
        <x:v>OT rouges antérieurs à date T</x:v>
      </x:c>
    </x:row>
    <x:row r="5" ht="23" customHeight="1">
      <x:c r="A5" t="str">
        <x:v>Ancienneté / reports</x:v>
      </x:c>
      <x:c r="B5" s="10" t="n">
        <x:v>15</x:v>
      </x:c>
      <x:c r="C5" t="str">
        <x:v>0 récent ; 5 ancien ou reporté plusieurs fois</x:v>
      </x:c>
      <x:c r="D5" t="str">
        <x:v>Dates et statuts Avis</x:v>
      </x:c>
    </x:row>
    <x:row r="6" ht="23" customHeight="1">
      <x:c r="A6" t="str">
        <x:v>Gravité symptômes</x:v>
      </x:c>
      <x:c r="B6" s="10" t="n">
        <x:v>10</x:v>
      </x:c>
      <x:c r="C6" t="str">
        <x:v>0 mineur ; 5 symptôme aggravé ou cumulatif</x:v>
      </x:c>
      <x:c r="D6" t="str">
        <x:v>Texte Avis + règles métier</x:v>
      </x:c>
    </x:row>
    <x:row r="7" ht="23" customHeight="1">
      <x:c r="A7" t="str">
        <x:v>Contexte aggravant</x:v>
      </x:c>
      <x:c r="B7" s="10" t="n">
        <x:v>10</x:v>
      </x:c>
      <x:c r="C7" t="str">
        <x:v>0 aucun ; 5 conditions opératoires dégradées</x:v>
      </x:c>
      <x:c r="D7" t="str">
        <x:v>Contexte autorisé à date T</x:v>
      </x:c>
    </x:row>
    <x:row r="8" ht="23" customHeight="1">
      <x:c r="A8" t="str">
        <x:v>TOTAL</x:v>
      </x:c>
      <x:c r="B8" t="n">
        <x:f>SUM(B2:B7)</x:f>
        <x:v>100</x:v>
      </x:c>
      <x:c r="C8" t="str">
        <x:v>Les poids doivent totaliser 100</x:v>
      </x:c>
      <x:c r="D8" t="str"/>
    </x:row>
    <x:row r="9" ht="23" customHeight="1">
      <x:c r="A9" t="str">
        <x:v>Seuil priorité haute</x:v>
      </x:c>
      <x:c r="B9" t="n">
        <x:v>75</x:v>
      </x:c>
      <x:c r="C9" t="str">
        <x:v>Score &gt;= seuil : revue prioritaire</x:v>
      </x:c>
      <x:c r="D9" t="str">
        <x:v>Hypothèse paramétrable</x:v>
      </x:c>
    </x:row>
    <x:row r="10" ht="23" customHeight="1">
      <x:c r="A10" t="str">
        <x:v>Seuil priorité moyenne</x:v>
      </x:c>
      <x:c r="B10" t="n">
        <x:v>50</x:v>
      </x:c>
      <x:c r="C10" t="str">
        <x:v>Score &gt;= seuil moyen et &lt; seuil haut</x:v>
      </x:c>
      <x:c r="D10" t="str">
        <x:v>Hypothèse paramétrable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4" hidden="0" customWidth="1"/>
    <x:col min="3" max="3" width="19" hidden="0" customWidth="1"/>
    <x:col min="4" max="4" width="23" hidden="0" customWidth="1"/>
    <x:col min="5" max="5" width="16" hidden="0" customWidth="1"/>
    <x:col min="6" max="6" width="15" hidden="0" customWidth="1"/>
  </x:cols>
  <x:sheetData>
    <x:row r="1" ht="34" customHeight="1">
      <x:c r="A1" s="5" t="str">
        <x:v>ID équipement</x:v>
      </x:c>
      <x:c r="B1" s="5" t="str">
        <x:v>Nom équipement</x:v>
      </x:c>
      <x:c r="C1" s="5" t="str">
        <x:v>Repère</x:v>
      </x:c>
      <x:c r="D1" s="5" t="str">
        <x:v>Sous-ensemble</x:v>
      </x:c>
      <x:c r="E1" s="5" t="str">
        <x:v>Criticité</x:v>
      </x:c>
      <x:c r="F1" s="5" t="str">
        <x:v>Note 0-5</x:v>
      </x:c>
    </x:row>
    <x:row r="2" ht="23" customHeight="1">
      <x:c r="A2" t="str">
        <x:v>E01</x:v>
      </x:c>
      <x:c r="B2" t="str">
        <x:v>Réducteur convoyeur entrée</x:v>
      </x:c>
      <x:c r="C2" t="str">
        <x:v>CV-101</x:v>
      </x:c>
      <x:c r="D2" t="str">
        <x:v>Transmission</x:v>
      </x:c>
      <x:c r="E2" t="str">
        <x:v>Critique</x:v>
      </x:c>
      <x:c r="F2" t="n">
        <x:v>5</x:v>
      </x:c>
    </x:row>
    <x:row r="3" ht="23" customHeight="1">
      <x:c r="A3" t="str">
        <x:v>E02</x:v>
      </x:c>
      <x:c r="B3" t="str">
        <x:v>Pompe hydraulique presse</x:v>
      </x:c>
      <x:c r="C3" t="str">
        <x:v>PH-204</x:v>
      </x:c>
      <x:c r="D3" t="str">
        <x:v>Hydraulique</x:v>
      </x:c>
      <x:c r="E3" t="str">
        <x:v>Critique</x:v>
      </x:c>
      <x:c r="F3" t="n">
        <x:v>5</x:v>
      </x:c>
    </x:row>
    <x:row r="4" ht="23" customHeight="1">
      <x:c r="A4" t="str">
        <x:v>E03</x:v>
      </x:c>
      <x:c r="B4" t="str">
        <x:v>Ventilateur four</x:v>
      </x:c>
      <x:c r="C4" t="str">
        <x:v>VF-302</x:v>
      </x:c>
      <x:c r="D4" t="str">
        <x:v>Ventilation</x:v>
      </x:c>
      <x:c r="E4" t="str">
        <x:v>Elevée</x:v>
      </x:c>
      <x:c r="F4" t="n">
        <x:v>4</x:v>
      </x:c>
    </x:row>
    <x:row r="5" ht="23" customHeight="1">
      <x:c r="A5" t="str">
        <x:v>E04</x:v>
      </x:c>
      <x:c r="B5" t="str">
        <x:v>Moteur table à rouleaux</x:v>
      </x:c>
      <x:c r="C5" t="str">
        <x:v>MT-411</x:v>
      </x:c>
      <x:c r="D5" t="str">
        <x:v>Motorisation</x:v>
      </x:c>
      <x:c r="E5" t="str">
        <x:v>Elevée</x:v>
      </x:c>
      <x:c r="F5" t="n">
        <x:v>4</x:v>
      </x:c>
    </x:row>
    <x:row r="6" ht="23" customHeight="1">
      <x:c r="A6" t="str">
        <x:v>E05</x:v>
      </x:c>
      <x:c r="B6" t="str">
        <x:v>Vanne refroidissement</x:v>
      </x:c>
      <x:c r="C6" t="str">
        <x:v>VR-509</x:v>
      </x:c>
      <x:c r="D6" t="str">
        <x:v>Fluides</x:v>
      </x:c>
      <x:c r="E6" t="str">
        <x:v>Elevée</x:v>
      </x:c>
      <x:c r="F6" t="n">
        <x:v>4</x:v>
      </x:c>
    </x:row>
    <x:row r="7" ht="23" customHeight="1">
      <x:c r="A7" t="str">
        <x:v>E06</x:v>
      </x:c>
      <x:c r="B7" t="str">
        <x:v>Capteur position bande</x:v>
      </x:c>
      <x:c r="C7" t="str">
        <x:v>CP-615</x:v>
      </x:c>
      <x:c r="D7" t="str">
        <x:v>Instrumentation</x:v>
      </x:c>
      <x:c r="E7" t="str">
        <x:v>Moyenne</x:v>
      </x:c>
      <x:c r="F7" t="n">
        <x:v>3</x:v>
      </x:c>
    </x:row>
    <x:row r="8" ht="23" customHeight="1">
      <x:c r="A8" t="str">
        <x:v>E07</x:v>
      </x:c>
      <x:c r="B8" t="str">
        <x:v>Groupe lubrification</x:v>
      </x:c>
      <x:c r="C8" t="str">
        <x:v>GL-710</x:v>
      </x:c>
      <x:c r="D8" t="str">
        <x:v>Lubrification</x:v>
      </x:c>
      <x:c r="E8" t="str">
        <x:v>Critique</x:v>
      </x:c>
      <x:c r="F8" t="n">
        <x:v>5</x:v>
      </x:c>
    </x:row>
    <x:row r="9" ht="23" customHeight="1">
      <x:c r="A9" t="str">
        <x:v>E08</x:v>
      </x:c>
      <x:c r="B9" t="str">
        <x:v>Pompe eau industrielle</x:v>
      </x:c>
      <x:c r="C9" t="str">
        <x:v>PE-802</x:v>
      </x:c>
      <x:c r="D9" t="str">
        <x:v>Fluides</x:v>
      </x:c>
      <x:c r="E9" t="str">
        <x:v>Moyenne</x:v>
      </x:c>
      <x:c r="F9" t="n">
        <x:v>3</x:v>
      </x:c>
    </x:row>
    <x:row r="10" ht="23" customHeight="1">
      <x:c r="A10" t="str">
        <x:v>E09</x:v>
      </x:c>
      <x:c r="B10" t="str">
        <x:v>Vérin de serrage</x:v>
      </x:c>
      <x:c r="C10" t="str">
        <x:v>VS-901</x:v>
      </x:c>
      <x:c r="D10" t="str">
        <x:v>Hydraulique</x:v>
      </x:c>
      <x:c r="E10" t="str">
        <x:v>Moyenne</x:v>
      </x:c>
      <x:c r="F10" t="n">
        <x:v>3</x:v>
      </x:c>
    </x:row>
    <x:row r="11" ht="23" customHeight="1">
      <x:c r="A11" t="str">
        <x:v>E10</x:v>
      </x:c>
      <x:c r="B11" t="str">
        <x:v>Convoyeur sortie</x:v>
      </x:c>
      <x:c r="C11" t="str">
        <x:v>CS-102</x:v>
      </x:c>
      <x:c r="D11" t="str">
        <x:v>Transport</x:v>
      </x:c>
      <x:c r="E11" t="str">
        <x:v>Elevée</x:v>
      </x:c>
      <x:c r="F11" t="n">
        <x:v>4</x:v>
      </x:c>
    </x:row>
    <x:row r="12" ht="23" customHeight="1">
      <x:c r="A12" t="str">
        <x:v>E11</x:v>
      </x:c>
      <x:c r="B12" t="str">
        <x:v>Compresseur atelier</x:v>
      </x:c>
      <x:c r="C12" t="str">
        <x:v>CA-220</x:v>
      </x:c>
      <x:c r="D12" t="str">
        <x:v>Air comprimé</x:v>
      </x:c>
      <x:c r="E12" t="str">
        <x:v>Moyenne</x:v>
      </x:c>
      <x:c r="F12" t="n">
        <x:v>3</x:v>
      </x:c>
    </x:row>
    <x:row r="13" ht="23" customHeight="1">
      <x:c r="A13" t="str">
        <x:v>E12</x:v>
      </x:c>
      <x:c r="B13" t="str">
        <x:v>Armoire automate</x:v>
      </x:c>
      <x:c r="C13" t="str">
        <x:v>AA-330</x:v>
      </x:c>
      <x:c r="D13" t="str">
        <x:v>Automatisme</x:v>
      </x:c>
      <x:c r="E13" t="str">
        <x:v>Critique</x:v>
      </x:c>
      <x:c r="F13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5" hidden="0" customWidth="1"/>
    <x:col min="5" max="5" width="20" hidden="0" customWidth="1"/>
    <x:col min="6" max="6" width="12" hidden="0" customWidth="1"/>
    <x:col min="7" max="7" width="18" hidden="0" customWidth="1"/>
    <x:col min="8" max="8" width="31" hidden="0" customWidth="1"/>
    <x:col min="9" max="9" width="58" hidden="0" customWidth="1"/>
    <x:col min="10" max="10" width="16" hidden="0" customWidth="1"/>
    <x:col min="11" max="11" width="13" hidden="0" customWidth="1"/>
    <x:col min="12" max="12" width="21" hidden="0" customWidth="1"/>
    <x:col min="13" max="13" width="17" hidden="0" customWidth="1"/>
    <x:col min="14" max="14" width="39" hidden="0" customWidth="1"/>
  </x:cols>
  <x:sheetData>
    <x:row r="1" ht="34" customHeight="1">
      <x:c r="A1" s="5" t="str">
        <x:v>ID Avis</x:v>
      </x:c>
      <x:c r="B1" s="5" t="str">
        <x:v>Date création</x:v>
      </x:c>
      <x:c r="C1" s="5" t="str">
        <x:v>ID équipement</x:v>
      </x:c>
      <x:c r="D1" s="5" t="str">
        <x:v>Repère</x:v>
      </x:c>
      <x:c r="E1" s="5" t="str">
        <x:v>Sous-ensemble</x:v>
      </x:c>
      <x:c r="F1" s="5" t="str">
        <x:v>Flux</x:v>
      </x:c>
      <x:c r="G1" s="5" t="str">
        <x:v>Catégorie</x:v>
      </x:c>
      <x:c r="H1" s="5" t="str">
        <x:v>Symptôme court</x:v>
      </x:c>
      <x:c r="I1" s="5" t="str">
        <x:v>Description Avis</x:v>
      </x:c>
      <x:c r="J1" s="5" t="str">
        <x:v>Statut</x:v>
      </x:c>
      <x:c r="K1" s="5" t="str">
        <x:v>Nb reports</x:v>
      </x:c>
      <x:c r="L1" s="5" t="str">
        <x:v>Age à date étude (j)</x:v>
      </x:c>
      <x:c r="M1" s="5" t="str">
        <x:v>Emetteur</x:v>
      </x:c>
      <x:c r="N1" s="5" t="str">
        <x:v>Note jeu de test</x:v>
      </x:c>
    </x:row>
    <x:row r="2" ht="23" customHeight="1">
      <x:c r="A2" t="str">
        <x:v>AV-1001</x:v>
      </x:c>
      <x:c r="B2" t="str">
        <x:v>2025-01-03</x:v>
      </x:c>
      <x:c r="C2" t="str">
        <x:v>E01</x:v>
      </x:c>
      <x:c r="D2" t="str">
        <x:v>CV-101</x:v>
      </x:c>
      <x:c r="E2" t="str">
        <x:v>Transmission</x:v>
      </x:c>
      <x:c r="F2" t="str">
        <x:v>JAUNE</x:v>
      </x:c>
      <x:c r="G2" t="str">
        <x:v>Différé</x:v>
      </x:c>
      <x:c r="H2" t="str">
        <x:v>Fuite d’huile progressive</x:v>
      </x:c>
      <x:c r="I2" t="str">
        <x:v>Symptôme observé: fuite d’huile progressive; contrôle à programmer</x:v>
      </x:c>
      <x:c r="J2" t="str">
        <x:v>Clôturé</x:v>
      </x:c>
      <x:c r="K2" t="n">
        <x:v>4</x:v>
      </x:c>
      <x:c r="L2" t="n">
        <x:v>8</x:v>
      </x:c>
      <x:c r="M2" t="str">
        <x:v>Maintenance</x:v>
      </x:c>
      <x:c r="N2" t="str">
        <x:v>Trajectoire synthétique</x:v>
      </x:c>
    </x:row>
    <x:row r="3" ht="23" customHeight="1">
      <x:c r="A3" t="str">
        <x:v>AV-1002</x:v>
      </x:c>
      <x:c r="B3" t="str">
        <x:v>2025-01-18</x:v>
      </x:c>
      <x:c r="C3" t="str">
        <x:v>E02</x:v>
      </x:c>
      <x:c r="D3" t="str">
        <x:v>PH-204</x:v>
      </x:c>
      <x:c r="E3" t="str">
        <x:v>Hydraulique</x:v>
      </x:c>
      <x:c r="F3" t="str">
        <x:v>JAUNE</x:v>
      </x:c>
      <x:c r="G3" t="str">
        <x:v>Différé</x:v>
      </x:c>
      <x:c r="H3" t="str">
        <x:v>Vibration inhabituelle</x:v>
      </x:c>
      <x:c r="I3" t="str">
        <x:v>Symptôme observé: vibration inhabituelle; contrôle à programmer</x:v>
      </x:c>
      <x:c r="J3" t="str">
        <x:v>En attente</x:v>
      </x:c>
      <x:c r="K3" t="n">
        <x:v>3</x:v>
      </x:c>
      <x:c r="L3" t="n">
        <x:v>55</x:v>
      </x:c>
      <x:c r="M3" t="str">
        <x:v>Production</x:v>
      </x:c>
      <x:c r="N3" t="str">
        <x:v>Trajectoire synthétique</x:v>
      </x:c>
    </x:row>
    <x:row r="4" ht="23" customHeight="1">
      <x:c r="A4" t="str">
        <x:v>AV-1003</x:v>
      </x:c>
      <x:c r="B4" t="str">
        <x:v>2025-02-02</x:v>
      </x:c>
      <x:c r="C4" t="str">
        <x:v>E03</x:v>
      </x:c>
      <x:c r="D4" t="str">
        <x:v>VF-302</x:v>
      </x:c>
      <x:c r="E4" t="str">
        <x:v>Ventilation</x:v>
      </x:c>
      <x:c r="F4" t="str">
        <x:v>JAUNE</x:v>
      </x:c>
      <x:c r="G4" t="str">
        <x:v>Différé</x:v>
      </x:c>
      <x:c r="H4" t="str">
        <x:v>Bruit intermittent</x:v>
      </x:c>
      <x:c r="I4" t="str">
        <x:v>Symptôme observé: bruit intermittent; contrôle à programmer</x:v>
      </x:c>
      <x:c r="J4" t="str">
        <x:v>En attente</x:v>
      </x:c>
      <x:c r="K4" t="n">
        <x:v>4</x:v>
      </x:c>
      <x:c r="L4" t="n">
        <x:v>35</x:v>
      </x:c>
      <x:c r="M4" t="str">
        <x:v>Maintenance</x:v>
      </x:c>
      <x:c r="N4" t="str">
        <x:v>Trajectoire synthétique</x:v>
      </x:c>
    </x:row>
    <x:row r="5" ht="23" customHeight="1">
      <x:c r="A5" t="str">
        <x:v>AV-1004</x:v>
      </x:c>
      <x:c r="B5" t="str">
        <x:v>2025-02-12</x:v>
      </x:c>
      <x:c r="C5" t="str">
        <x:v>E04</x:v>
      </x:c>
      <x:c r="D5" t="str">
        <x:v>MT-411</x:v>
      </x:c>
      <x:c r="E5" t="str">
        <x:v>Motorisation</x:v>
      </x:c>
      <x:c r="F5" t="str">
        <x:v>JAUNE</x:v>
      </x:c>
      <x:c r="G5" t="str">
        <x:v>Différé</x:v>
      </x:c>
      <x:c r="H5" t="str">
        <x:v>Température élevée</x:v>
      </x:c>
      <x:c r="I5" t="str">
        <x:v>Symptôme observé: température élevée; contrôle à programmer</x:v>
      </x:c>
      <x:c r="J5" t="str">
        <x:v>Clôturé</x:v>
      </x:c>
      <x:c r="K5" t="n">
        <x:v>1</x:v>
      </x:c>
      <x:c r="L5" t="n">
        <x:v>35</x:v>
      </x:c>
      <x:c r="M5" t="str">
        <x:v>Production</x:v>
      </x:c>
      <x:c r="N5" t="str">
        <x:v>Trajectoire synthétique</x:v>
      </x:c>
    </x:row>
    <x:row r="6" ht="23" customHeight="1">
      <x:c r="A6" t="str">
        <x:v>AV-1005</x:v>
      </x:c>
      <x:c r="B6" t="str">
        <x:v>2025-02-26</x:v>
      </x:c>
      <x:c r="C6" t="str">
        <x:v>E05</x:v>
      </x:c>
      <x:c r="D6" t="str">
        <x:v>VR-509</x:v>
      </x:c>
      <x:c r="E6" t="str">
        <x:v>Fluides</x:v>
      </x:c>
      <x:c r="F6" t="str">
        <x:v>JAUNE</x:v>
      </x:c>
      <x:c r="G6" t="str">
        <x:v>Différé</x:v>
      </x:c>
      <x:c r="H6" t="str">
        <x:v>Pression instable</x:v>
      </x:c>
      <x:c r="I6" t="str">
        <x:v>Symptôme observé: pression instable; contrôle à programmer</x:v>
      </x:c>
      <x:c r="J6" t="str">
        <x:v>En attente</x:v>
      </x:c>
      <x:c r="K6" t="n">
        <x:v>4</x:v>
      </x:c>
      <x:c r="L6" t="n">
        <x:v>21</x:v>
      </x:c>
      <x:c r="M6" t="str">
        <x:v>Maintenance</x:v>
      </x:c>
      <x:c r="N6" t="str">
        <x:v>Trajectoire synthétique</x:v>
      </x:c>
    </x:row>
    <x:row r="7" ht="23" customHeight="1">
      <x:c r="A7" t="str">
        <x:v>AV-1006</x:v>
      </x:c>
      <x:c r="B7" t="str">
        <x:v>2025-03-12</x:v>
      </x:c>
      <x:c r="C7" t="str">
        <x:v>E06</x:v>
      </x:c>
      <x:c r="D7" t="str">
        <x:v>CP-615</x:v>
      </x:c>
      <x:c r="E7" t="str">
        <x:v>Instrumentation</x:v>
      </x:c>
      <x:c r="F7" t="str">
        <x:v>JAUNE</x:v>
      </x:c>
      <x:c r="G7" t="str">
        <x:v>Différé</x:v>
      </x:c>
      <x:c r="H7" t="str">
        <x:v>Défaut capteur intermittent</x:v>
      </x:c>
      <x:c r="I7" t="str">
        <x:v>Symptôme observé: défaut capteur intermittent; contrôle à programmer</x:v>
      </x:c>
      <x:c r="J7" t="str">
        <x:v>En attente</x:v>
      </x:c>
      <x:c r="K7" t="n">
        <x:v>4</x:v>
      </x:c>
      <x:c r="L7" t="n">
        <x:v>21</x:v>
      </x:c>
      <x:c r="M7" t="str">
        <x:v>Production</x:v>
      </x:c>
      <x:c r="N7" t="str">
        <x:v>Trajectoire synthétique</x:v>
      </x:c>
    </x:row>
    <x:row r="8" ht="23" customHeight="1">
      <x:c r="A8" t="str">
        <x:v>AV-1007</x:v>
      </x:c>
      <x:c r="B8" t="str">
        <x:v>2025-03-27</x:v>
      </x:c>
      <x:c r="C8" t="str">
        <x:v>E07</x:v>
      </x:c>
      <x:c r="D8" t="str">
        <x:v>GL-710</x:v>
      </x:c>
      <x:c r="E8" t="str">
        <x:v>Lubrification</x:v>
      </x:c>
      <x:c r="F8" t="str">
        <x:v>JAUNE</x:v>
      </x:c>
      <x:c r="G8" t="str">
        <x:v>Différé</x:v>
      </x:c>
      <x:c r="H8" t="str">
        <x:v>Débit irrégulier</x:v>
      </x:c>
      <x:c r="I8" t="str">
        <x:v>Symptôme observé: débit irrégulier; contrôle à programmer</x:v>
      </x:c>
      <x:c r="J8" t="str">
        <x:v>Clôturé</x:v>
      </x:c>
      <x:c r="K8" t="n">
        <x:v>3</x:v>
      </x:c>
      <x:c r="L8" t="n">
        <x:v>55</x:v>
      </x:c>
      <x:c r="M8" t="str">
        <x:v>Maintenance</x:v>
      </x:c>
      <x:c r="N8" t="str">
        <x:v>Trajectoire synthétique</x:v>
      </x:c>
    </x:row>
    <x:row r="9" ht="23" customHeight="1">
      <x:c r="A9" t="str">
        <x:v>AV-1008</x:v>
      </x:c>
      <x:c r="B9" t="str">
        <x:v>2025-04-10</x:v>
      </x:c>
      <x:c r="C9" t="str">
        <x:v>E08</x:v>
      </x:c>
      <x:c r="D9" t="str">
        <x:v>PE-802</x:v>
      </x:c>
      <x:c r="E9" t="str">
        <x:v>Fluides</x:v>
      </x:c>
      <x:c r="F9" t="str">
        <x:v>JAUNE</x:v>
      </x:c>
      <x:c r="G9" t="str">
        <x:v>Différé</x:v>
      </x:c>
      <x:c r="H9" t="str">
        <x:v>Jeu mécanique observé</x:v>
      </x:c>
      <x:c r="I9" t="str">
        <x:v>Symptôme observé: jeu mécanique observé; contrôle à programmer</x:v>
      </x:c>
      <x:c r="J9" t="str">
        <x:v>En attente</x:v>
      </x:c>
      <x:c r="K9" t="n">
        <x:v>3</x:v>
      </x:c>
      <x:c r="L9" t="n">
        <x:v>8</x:v>
      </x:c>
      <x:c r="M9" t="str">
        <x:v>Production</x:v>
      </x:c>
      <x:c r="N9" t="str">
        <x:v>Trajectoire synthétique</x:v>
      </x:c>
    </x:row>
    <x:row r="10" ht="23" customHeight="1">
      <x:c r="A10" t="str">
        <x:v>AV-1009</x:v>
      </x:c>
      <x:c r="B10" t="str">
        <x:v>2025-04-27</x:v>
      </x:c>
      <x:c r="C10" t="str">
        <x:v>E09</x:v>
      </x:c>
      <x:c r="D10" t="str">
        <x:v>VS-901</x:v>
      </x:c>
      <x:c r="E10" t="str">
        <x:v>Hydraulique</x:v>
      </x:c>
      <x:c r="F10" t="str">
        <x:v>JAUNE</x:v>
      </x:c>
      <x:c r="G10" t="str">
        <x:v>Différé</x:v>
      </x:c>
      <x:c r="H10" t="str">
        <x:v>Fuite d’huile progressive</x:v>
      </x:c>
      <x:c r="I10" t="str">
        <x:v>Symptôme observé: fuite d’huile progressive; contrôle à programmer</x:v>
      </x:c>
      <x:c r="J10" t="str">
        <x:v>En attente</x:v>
      </x:c>
      <x:c r="K10" t="n">
        <x:v>2</x:v>
      </x:c>
      <x:c r="L10" t="n">
        <x:v>21</x:v>
      </x:c>
      <x:c r="M10" t="str">
        <x:v>Maintenance</x:v>
      </x:c>
      <x:c r="N10" t="str">
        <x:v>Trajectoire synthétique</x:v>
      </x:c>
    </x:row>
    <x:row r="11" ht="23" customHeight="1">
      <x:c r="A11" t="str">
        <x:v>AV-1010</x:v>
      </x:c>
      <x:c r="B11" t="str">
        <x:v>2025-05-07</x:v>
      </x:c>
      <x:c r="C11" t="str">
        <x:v>E10</x:v>
      </x:c>
      <x:c r="D11" t="str">
        <x:v>CS-102</x:v>
      </x:c>
      <x:c r="E11" t="str">
        <x:v>Transport</x:v>
      </x:c>
      <x:c r="F11" t="str">
        <x:v>JAUNE</x:v>
      </x:c>
      <x:c r="G11" t="str">
        <x:v>Différé</x:v>
      </x:c>
      <x:c r="H11" t="str">
        <x:v>Vibration inhabituelle</x:v>
      </x:c>
      <x:c r="I11" t="str">
        <x:v>Symptôme observé: vibration inhabituelle; contrôle à programmer</x:v>
      </x:c>
      <x:c r="J11" t="str">
        <x:v>Clôturé</x:v>
      </x:c>
      <x:c r="K11" t="n">
        <x:v>3</x:v>
      </x:c>
      <x:c r="L11" t="n">
        <x:v>14</x:v>
      </x:c>
      <x:c r="M11" t="str">
        <x:v>Production</x:v>
      </x:c>
      <x:c r="N11" t="str">
        <x:v>Trajectoire synthétique</x:v>
      </x:c>
    </x:row>
    <x:row r="12" ht="23" customHeight="1">
      <x:c r="A12" t="str">
        <x:v>AV-1011</x:v>
      </x:c>
      <x:c r="B12" t="str">
        <x:v>2025-05-23</x:v>
      </x:c>
      <x:c r="C12" t="str">
        <x:v>E11</x:v>
      </x:c>
      <x:c r="D12" t="str">
        <x:v>CA-220</x:v>
      </x:c>
      <x:c r="E12" t="str">
        <x:v>Air comprimé</x:v>
      </x:c>
      <x:c r="F12" t="str">
        <x:v>JAUNE</x:v>
      </x:c>
      <x:c r="G12" t="str">
        <x:v>Différé</x:v>
      </x:c>
      <x:c r="H12" t="str">
        <x:v>Bruit intermittent</x:v>
      </x:c>
      <x:c r="I12" t="str">
        <x:v>Symptôme observé: bruit intermittent; contrôle à programmer</x:v>
      </x:c>
      <x:c r="J12" t="str">
        <x:v>En attente</x:v>
      </x:c>
      <x:c r="K12" t="n">
        <x:v>4</x:v>
      </x:c>
      <x:c r="L12" t="n">
        <x:v>55</x:v>
      </x:c>
      <x:c r="M12" t="str">
        <x:v>Maintenance</x:v>
      </x:c>
      <x:c r="N12" t="str">
        <x:v>Trajectoire synthétique</x:v>
      </x:c>
    </x:row>
    <x:row r="13" ht="23" customHeight="1">
      <x:c r="A13" t="str">
        <x:v>AV-1012</x:v>
      </x:c>
      <x:c r="B13" t="str">
        <x:v>2025-06-08</x:v>
      </x:c>
      <x:c r="C13" t="str">
        <x:v>E12</x:v>
      </x:c>
      <x:c r="D13" t="str">
        <x:v>AA-330</x:v>
      </x:c>
      <x:c r="E13" t="str">
        <x:v>Automatisme</x:v>
      </x:c>
      <x:c r="F13" t="str">
        <x:v>JAUNE</x:v>
      </x:c>
      <x:c r="G13" t="str">
        <x:v>Différé</x:v>
      </x:c>
      <x:c r="H13" t="str">
        <x:v>Température élevée</x:v>
      </x:c>
      <x:c r="I13" t="str">
        <x:v>Symptôme observé: température élevée; contrôle à programmer</x:v>
      </x:c>
      <x:c r="J13" t="str">
        <x:v>En attente</x:v>
      </x:c>
      <x:c r="K13" t="n">
        <x:v>1</x:v>
      </x:c>
      <x:c r="L13" t="n">
        <x:v>21</x:v>
      </x:c>
      <x:c r="M13" t="str">
        <x:v>Production</x:v>
      </x:c>
      <x:c r="N13" t="str">
        <x:v>Trajectoire synthétique</x:v>
      </x:c>
    </x:row>
    <x:row r="14" ht="23" customHeight="1">
      <x:c r="A14" t="str">
        <x:v>AV-1013</x:v>
      </x:c>
      <x:c r="B14" t="str">
        <x:v>2025-06-20</x:v>
      </x:c>
      <x:c r="C14" t="str">
        <x:v>E01</x:v>
      </x:c>
      <x:c r="D14" t="str">
        <x:v>CV-101</x:v>
      </x:c>
      <x:c r="E14" t="str">
        <x:v>Transmission</x:v>
      </x:c>
      <x:c r="F14" t="str">
        <x:v>JAUNE</x:v>
      </x:c>
      <x:c r="G14" t="str">
        <x:v>Différé</x:v>
      </x:c>
      <x:c r="H14" t="str">
        <x:v>Pression instable</x:v>
      </x:c>
      <x:c r="I14" t="str">
        <x:v>Symptôme observé: pression instable; contrôle à programmer</x:v>
      </x:c>
      <x:c r="J14" t="str">
        <x:v>Clôturé</x:v>
      </x:c>
      <x:c r="K14" t="n">
        <x:v>4</x:v>
      </x:c>
      <x:c r="L14" t="n">
        <x:v>14</x:v>
      </x:c>
      <x:c r="M14" t="str">
        <x:v>Maintenance</x:v>
      </x:c>
      <x:c r="N14" t="str">
        <x:v>Trajectoire synthétique</x:v>
      </x:c>
    </x:row>
    <x:row r="15" ht="23" customHeight="1">
      <x:c r="A15" t="str">
        <x:v>AV-1014</x:v>
      </x:c>
      <x:c r="B15" t="str">
        <x:v>2025-07-05</x:v>
      </x:c>
      <x:c r="C15" t="str">
        <x:v>E02</x:v>
      </x:c>
      <x:c r="D15" t="str">
        <x:v>PH-204</x:v>
      </x:c>
      <x:c r="E15" t="str">
        <x:v>Hydraulique</x:v>
      </x:c>
      <x:c r="F15" t="str">
        <x:v>JAUNE</x:v>
      </x:c>
      <x:c r="G15" t="str">
        <x:v>Différé</x:v>
      </x:c>
      <x:c r="H15" t="str">
        <x:v>Défaut capteur intermittent</x:v>
      </x:c>
      <x:c r="I15" t="str">
        <x:v>Symptôme observé: défaut capteur intermittent; contrôle à programmer</x:v>
      </x:c>
      <x:c r="J15" t="str">
        <x:v>En attente</x:v>
      </x:c>
      <x:c r="K15" t="n">
        <x:v>3</x:v>
      </x:c>
      <x:c r="L15" t="n">
        <x:v>55</x:v>
      </x:c>
      <x:c r="M15" t="str">
        <x:v>Production</x:v>
      </x:c>
      <x:c r="N15" t="str">
        <x:v>Trajectoire synthétique</x:v>
      </x:c>
    </x:row>
    <x:row r="16" ht="23" customHeight="1">
      <x:c r="A16" t="str">
        <x:v>AV-1015</x:v>
      </x:c>
      <x:c r="B16" t="str">
        <x:v>2025-07-17</x:v>
      </x:c>
      <x:c r="C16" t="str">
        <x:v>E03</x:v>
      </x:c>
      <x:c r="D16" t="str">
        <x:v>VF-302</x:v>
      </x:c>
      <x:c r="E16" t="str">
        <x:v>Ventilation</x:v>
      </x:c>
      <x:c r="F16" t="str">
        <x:v>JAUNE</x:v>
      </x:c>
      <x:c r="G16" t="str">
        <x:v>Différé</x:v>
      </x:c>
      <x:c r="H16" t="str">
        <x:v>Débit irrégulier</x:v>
      </x:c>
      <x:c r="I16" t="str">
        <x:v>Symptôme observé: débit irrégulier; contrôle à programmer</x:v>
      </x:c>
      <x:c r="J16" t="str">
        <x:v>En attente</x:v>
      </x:c>
      <x:c r="K16" t="n">
        <x:v>3</x:v>
      </x:c>
      <x:c r="L16" t="n">
        <x:v>55</x:v>
      </x:c>
      <x:c r="M16" t="str">
        <x:v>Maintenance</x:v>
      </x:c>
      <x:c r="N16" t="str">
        <x:v>Trajectoire synthétique</x:v>
      </x:c>
    </x:row>
    <x:row r="17" ht="23" customHeight="1">
      <x:c r="A17" t="str">
        <x:v>AV-1016</x:v>
      </x:c>
      <x:c r="B17" t="str">
        <x:v>2025-08-03</x:v>
      </x:c>
      <x:c r="C17" t="str">
        <x:v>E04</x:v>
      </x:c>
      <x:c r="D17" t="str">
        <x:v>MT-411</x:v>
      </x:c>
      <x:c r="E17" t="str">
        <x:v>Motorisation</x:v>
      </x:c>
      <x:c r="F17" t="str">
        <x:v>JAUNE</x:v>
      </x:c>
      <x:c r="G17" t="str">
        <x:v>Différé</x:v>
      </x:c>
      <x:c r="H17" t="str">
        <x:v>Jeu mécanique observé</x:v>
      </x:c>
      <x:c r="I17" t="str">
        <x:v>Symptôme observé: jeu mécanique observé; contrôle à programmer</x:v>
      </x:c>
      <x:c r="J17" t="str">
        <x:v>Clôturé</x:v>
      </x:c>
      <x:c r="K17" t="n">
        <x:v>1</x:v>
      </x:c>
      <x:c r="L17" t="n">
        <x:v>55</x:v>
      </x:c>
      <x:c r="M17" t="str">
        <x:v>Production</x:v>
      </x:c>
      <x:c r="N17" t="str">
        <x:v>Trajectoire synthétique</x:v>
      </x:c>
    </x:row>
    <x:row r="18" ht="23" customHeight="1">
      <x:c r="A18" t="str">
        <x:v>AV-1017</x:v>
      </x:c>
      <x:c r="B18" t="str">
        <x:v>2025-08-15</x:v>
      </x:c>
      <x:c r="C18" t="str">
        <x:v>E05</x:v>
      </x:c>
      <x:c r="D18" t="str">
        <x:v>VR-509</x:v>
      </x:c>
      <x:c r="E18" t="str">
        <x:v>Fluides</x:v>
      </x:c>
      <x:c r="F18" t="str">
        <x:v>JAUNE</x:v>
      </x:c>
      <x:c r="G18" t="str">
        <x:v>Différé</x:v>
      </x:c>
      <x:c r="H18" t="str">
        <x:v>Fuite d’huile progressive</x:v>
      </x:c>
      <x:c r="I18" t="str">
        <x:v>Symptôme observé: fuite d’huile progressive; contrôle à programmer</x:v>
      </x:c>
      <x:c r="J18" t="str">
        <x:v>En attente</x:v>
      </x:c>
      <x:c r="K18" t="n">
        <x:v>4</x:v>
      </x:c>
      <x:c r="L18" t="n">
        <x:v>55</x:v>
      </x:c>
      <x:c r="M18" t="str">
        <x:v>Maintenance</x:v>
      </x:c>
      <x:c r="N18" t="str">
        <x:v>Trajectoire synthétique</x:v>
      </x:c>
    </x:row>
    <x:row r="19" ht="23" customHeight="1">
      <x:c r="A19" t="str">
        <x:v>AV-1018</x:v>
      </x:c>
      <x:c r="B19" t="str">
        <x:v>2025-08-31</x:v>
      </x:c>
      <x:c r="C19" t="str">
        <x:v>E06</x:v>
      </x:c>
      <x:c r="D19" t="str">
        <x:v>CP-615</x:v>
      </x:c>
      <x:c r="E19" t="str">
        <x:v>Instrumentation</x:v>
      </x:c>
      <x:c r="F19" t="str">
        <x:v>JAUNE</x:v>
      </x:c>
      <x:c r="G19" t="str">
        <x:v>Différé</x:v>
      </x:c>
      <x:c r="H19" t="str">
        <x:v>Vibration inhabituelle</x:v>
      </x:c>
      <x:c r="I19" t="str">
        <x:v>Symptôme observé: vibration inhabituelle; contrôle à programmer</x:v>
      </x:c>
      <x:c r="J19" t="str">
        <x:v>En attente</x:v>
      </x:c>
      <x:c r="K19" t="n">
        <x:v>1</x:v>
      </x:c>
      <x:c r="L19" t="n">
        <x:v>14</x:v>
      </x:c>
      <x:c r="M19" t="str">
        <x:v>Production</x:v>
      </x:c>
      <x:c r="N19" t="str">
        <x:v>Trajectoire synthétique</x:v>
      </x:c>
    </x:row>
    <x:row r="20" ht="23" customHeight="1">
      <x:c r="A20" t="str">
        <x:v>AV-1019</x:v>
      </x:c>
      <x:c r="B20" t="str">
        <x:v>2025-09-13</x:v>
      </x:c>
      <x:c r="C20" t="str">
        <x:v>E07</x:v>
      </x:c>
      <x:c r="D20" t="str">
        <x:v>GL-710</x:v>
      </x:c>
      <x:c r="E20" t="str">
        <x:v>Lubrification</x:v>
      </x:c>
      <x:c r="F20" t="str">
        <x:v>JAUNE</x:v>
      </x:c>
      <x:c r="G20" t="str">
        <x:v>Différé</x:v>
      </x:c>
      <x:c r="H20" t="str">
        <x:v>Bruit intermittent</x:v>
      </x:c>
      <x:c r="I20" t="str">
        <x:v>Symptôme observé: bruit intermittent; contrôle à programmer</x:v>
      </x:c>
      <x:c r="J20" t="str">
        <x:v>Clôturé</x:v>
      </x:c>
      <x:c r="K20" t="n">
        <x:v>3</x:v>
      </x:c>
      <x:c r="L20" t="n">
        <x:v>35</x:v>
      </x:c>
      <x:c r="M20" t="str">
        <x:v>Maintenance</x:v>
      </x:c>
      <x:c r="N20" t="str">
        <x:v>Trajectoire synthétique</x:v>
      </x:c>
    </x:row>
    <x:row r="21" ht="23" customHeight="1">
      <x:c r="A21" t="str">
        <x:v>AV-1020</x:v>
      </x:c>
      <x:c r="B21" t="str">
        <x:v>2025-09-28</x:v>
      </x:c>
      <x:c r="C21" t="str">
        <x:v>E08</x:v>
      </x:c>
      <x:c r="D21" t="str">
        <x:v>PE-802</x:v>
      </x:c>
      <x:c r="E21" t="str">
        <x:v>Fluides</x:v>
      </x:c>
      <x:c r="F21" t="str">
        <x:v>JAUNE</x:v>
      </x:c>
      <x:c r="G21" t="str">
        <x:v>Différé</x:v>
      </x:c>
      <x:c r="H21" t="str">
        <x:v>Température élevée</x:v>
      </x:c>
      <x:c r="I21" t="str">
        <x:v>Symptôme observé: température élevée; contrôle à programmer</x:v>
      </x:c>
      <x:c r="J21" t="str">
        <x:v>En attente</x:v>
      </x:c>
      <x:c r="K21" t="n">
        <x:v>4</x:v>
      </x:c>
      <x:c r="L21" t="n">
        <x:v>14</x:v>
      </x:c>
      <x:c r="M21" t="str">
        <x:v>Production</x:v>
      </x:c>
      <x:c r="N21" t="str">
        <x:v>Trajectoire synthétique</x:v>
      </x:c>
    </x:row>
    <x:row r="22" ht="23" customHeight="1">
      <x:c r="A22" t="str">
        <x:v>AV-1021</x:v>
      </x:c>
      <x:c r="B22" t="str">
        <x:v>2025-10-09</x:v>
      </x:c>
      <x:c r="C22" t="str">
        <x:v>E09</x:v>
      </x:c>
      <x:c r="D22" t="str">
        <x:v>VS-901</x:v>
      </x:c>
      <x:c r="E22" t="str">
        <x:v>Hydraulique</x:v>
      </x:c>
      <x:c r="F22" t="str">
        <x:v>JAUNE</x:v>
      </x:c>
      <x:c r="G22" t="str">
        <x:v>Différé</x:v>
      </x:c>
      <x:c r="H22" t="str">
        <x:v>Pression instable</x:v>
      </x:c>
      <x:c r="I22" t="str">
        <x:v>Symptôme observé: pression instable; contrôle à programmer</x:v>
      </x:c>
      <x:c r="J22" t="str">
        <x:v>En attente</x:v>
      </x:c>
      <x:c r="K22" t="n">
        <x:v>1</x:v>
      </x:c>
      <x:c r="L22" t="n">
        <x:v>55</x:v>
      </x:c>
      <x:c r="M22" t="str">
        <x:v>Maintenance</x:v>
      </x:c>
      <x:c r="N22" t="str">
        <x:v>Trajectoire synthétique</x:v>
      </x:c>
    </x:row>
    <x:row r="23" ht="23" customHeight="1">
      <x:c r="A23" t="str">
        <x:v>AV-1022</x:v>
      </x:c>
      <x:c r="B23" t="str">
        <x:v>2025-10-24</x:v>
      </x:c>
      <x:c r="C23" t="str">
        <x:v>E10</x:v>
      </x:c>
      <x:c r="D23" t="str">
        <x:v>CS-102</x:v>
      </x:c>
      <x:c r="E23" t="str">
        <x:v>Transport</x:v>
      </x:c>
      <x:c r="F23" t="str">
        <x:v>JAUNE</x:v>
      </x:c>
      <x:c r="G23" t="str">
        <x:v>Différé</x:v>
      </x:c>
      <x:c r="H23" t="str">
        <x:v>Défaut capteur intermittent</x:v>
      </x:c>
      <x:c r="I23" t="str">
        <x:v>Symptôme observé: défaut capteur intermittent; contrôle à programmer</x:v>
      </x:c>
      <x:c r="J23" t="str">
        <x:v>Clôturé</x:v>
      </x:c>
      <x:c r="K23" t="n">
        <x:v>4</x:v>
      </x:c>
      <x:c r="L23" t="n">
        <x:v>55</x:v>
      </x:c>
      <x:c r="M23" t="str">
        <x:v>Production</x:v>
      </x:c>
      <x:c r="N23" t="str">
        <x:v>Trajectoire synthétique</x:v>
      </x:c>
    </x:row>
    <x:row r="24" ht="23" customHeight="1">
      <x:c r="A24" t="str">
        <x:v>AV-1023</x:v>
      </x:c>
      <x:c r="B24" t="str">
        <x:v>2025-11-07</x:v>
      </x:c>
      <x:c r="C24" t="str">
        <x:v>E11</x:v>
      </x:c>
      <x:c r="D24" t="str">
        <x:v>CA-220</x:v>
      </x:c>
      <x:c r="E24" t="str">
        <x:v>Air comprimé</x:v>
      </x:c>
      <x:c r="F24" t="str">
        <x:v>JAUNE</x:v>
      </x:c>
      <x:c r="G24" t="str">
        <x:v>Différé</x:v>
      </x:c>
      <x:c r="H24" t="str">
        <x:v>Débit irrégulier</x:v>
      </x:c>
      <x:c r="I24" t="str">
        <x:v>Symptôme observé: débit irrégulier; contrôle à programmer</x:v>
      </x:c>
      <x:c r="J24" t="str">
        <x:v>En attente</x:v>
      </x:c>
      <x:c r="K24" t="n">
        <x:v>3</x:v>
      </x:c>
      <x:c r="L24" t="n">
        <x:v>8</x:v>
      </x:c>
      <x:c r="M24" t="str">
        <x:v>Maintenance</x:v>
      </x:c>
      <x:c r="N24" t="str">
        <x:v>Trajectoire synthétique</x:v>
      </x:c>
    </x:row>
    <x:row r="25" ht="23" customHeight="1">
      <x:c r="A25" t="str">
        <x:v>AV-1024</x:v>
      </x:c>
      <x:c r="B25" t="str">
        <x:v>2025-11-23</x:v>
      </x:c>
      <x:c r="C25" t="str">
        <x:v>E12</x:v>
      </x:c>
      <x:c r="D25" t="str">
        <x:v>AA-330</x:v>
      </x:c>
      <x:c r="E25" t="str">
        <x:v>Automatisme</x:v>
      </x:c>
      <x:c r="F25" t="str">
        <x:v>JAUNE</x:v>
      </x:c>
      <x:c r="G25" t="str">
        <x:v>Différé</x:v>
      </x:c>
      <x:c r="H25" t="str">
        <x:v>Jeu mécanique observé</x:v>
      </x:c>
      <x:c r="I25" t="str">
        <x:v>Symptôme observé: jeu mécanique observé; contrôle à programmer</x:v>
      </x:c>
      <x:c r="J25" t="str">
        <x:v>En attente</x:v>
      </x:c>
      <x:c r="K25" t="n">
        <x:v>4</x:v>
      </x:c>
      <x:c r="L25" t="n">
        <x:v>75</x:v>
      </x:c>
      <x:c r="M25" t="str">
        <x:v>Production</x:v>
      </x:c>
      <x:c r="N25" t="str">
        <x:v>Trajectoire synthétique</x:v>
      </x:c>
    </x:row>
    <x:row r="26" ht="23" customHeight="1">
      <x:c r="A26" t="str">
        <x:v>AV-1025</x:v>
      </x:c>
      <x:c r="B26" t="str">
        <x:v>2025-05-01</x:v>
      </x:c>
      <x:c r="C26" t="str">
        <x:v>E01</x:v>
      </x:c>
      <x:c r="D26" t="str">
        <x:v>CV-101</x:v>
      </x:c>
      <x:c r="E26" t="str">
        <x:v>Transmission</x:v>
      </x:c>
      <x:c r="F26" t="str">
        <x:v>JAUNE</x:v>
      </x:c>
      <x:c r="G26" t="str">
        <x:v>Différé</x:v>
      </x:c>
      <x:c r="H26" t="str">
        <x:v>Fuite d’huile progressive</x:v>
      </x:c>
      <x:c r="I26" t="str">
        <x:v>Anomalie à vérifier : fuite d’huile progressive</x:v>
      </x:c>
      <x:c r="J26" t="str">
        <x:v>Clôturé</x:v>
      </x:c>
      <x:c r="K26" t="n">
        <x:v>1</x:v>
      </x:c>
      <x:c r="L26" t="n">
        <x:v>76</x:v>
      </x:c>
      <x:c r="M26" t="str">
        <x:v>Maintenance</x:v>
      </x:c>
      <x:c r="N26" t="str">
        <x:v>Témoin sans panne rouge associée dans le jeu</x:v>
      </x:c>
    </x:row>
    <x:row r="27" ht="23" customHeight="1">
      <x:c r="A27" t="str">
        <x:v>AV-1026</x:v>
      </x:c>
      <x:c r="B27" t="str">
        <x:v>2025-05-08</x:v>
      </x:c>
      <x:c r="C27" t="str">
        <x:v>E08</x:v>
      </x:c>
      <x:c r="D27" t="str">
        <x:v>PE-802</x:v>
      </x:c>
      <x:c r="E27" t="str">
        <x:v>Fluides</x:v>
      </x:c>
      <x:c r="F27" t="str">
        <x:v>JAUNE</x:v>
      </x:c>
      <x:c r="G27" t="str">
        <x:v>À replanifier</x:v>
      </x:c>
      <x:c r="H27" t="str">
        <x:v>Température élevée</x:v>
      </x:c>
      <x:c r="I27" t="str">
        <x:v>Anomalie à vérifier : température élevée</x:v>
      </x:c>
      <x:c r="J27" t="str">
        <x:v>Ouvert</x:v>
      </x:c>
      <x:c r="K27" t="n">
        <x:v>1</x:v>
      </x:c>
      <x:c r="L27" t="n">
        <x:v>58</x:v>
      </x:c>
      <x:c r="M27" t="str">
        <x:v>Maintenance</x:v>
      </x:c>
      <x:c r="N27" t="str">
        <x:v>Témoin sans panne rouge associée dans le jeu</x:v>
      </x:c>
    </x:row>
    <x:row r="28" ht="23" customHeight="1">
      <x:c r="A28" t="str">
        <x:v>AV-1027</x:v>
      </x:c>
      <x:c r="B28" t="str">
        <x:v>2025-05-12</x:v>
      </x:c>
      <x:c r="C28" t="str">
        <x:v>E03</x:v>
      </x:c>
      <x:c r="D28" t="str">
        <x:v>VF-302</x:v>
      </x:c>
      <x:c r="E28" t="str">
        <x:v>Ventilation</x:v>
      </x:c>
      <x:c r="F28" t="str">
        <x:v>JAUNE</x:v>
      </x:c>
      <x:c r="G28" t="str">
        <x:v>Différé</x:v>
      </x:c>
      <x:c r="H28" t="str">
        <x:v>Débit irrégulier</x:v>
      </x:c>
      <x:c r="I28" t="str">
        <x:v>Anomalie à vérifier : débit irrégulier</x:v>
      </x:c>
      <x:c r="J28" t="str">
        <x:v>Ouvert</x:v>
      </x:c>
      <x:c r="K28" t="n">
        <x:v>1</x:v>
      </x:c>
      <x:c r="L28" t="n">
        <x:v>63</x:v>
      </x:c>
      <x:c r="M28" t="str">
        <x:v>Maintenance</x:v>
      </x:c>
      <x:c r="N28" t="str">
        <x:v>Témoin sans panne rouge associée dans le jeu</x:v>
      </x:c>
    </x:row>
    <x:row r="29" ht="23" customHeight="1">
      <x:c r="A29" t="str">
        <x:v>AV-1028</x:v>
      </x:c>
      <x:c r="B29" t="str">
        <x:v>2025-05-16</x:v>
      </x:c>
      <x:c r="C29" t="str">
        <x:v>E10</x:v>
      </x:c>
      <x:c r="D29" t="str">
        <x:v>CS-102</x:v>
      </x:c>
      <x:c r="E29" t="str">
        <x:v>Transport</x:v>
      </x:c>
      <x:c r="F29" t="str">
        <x:v>JAUNE</x:v>
      </x:c>
      <x:c r="G29" t="str">
        <x:v>À replanifier</x:v>
      </x:c>
      <x:c r="H29" t="str">
        <x:v>Vibration inhabituelle</x:v>
      </x:c>
      <x:c r="I29" t="str">
        <x:v>Anomalie à vérifier : vibration inhabituelle</x:v>
      </x:c>
      <x:c r="J29" t="str">
        <x:v>Clôturé</x:v>
      </x:c>
      <x:c r="K29" t="n">
        <x:v>4</x:v>
      </x:c>
      <x:c r="L29" t="n">
        <x:v>20</x:v>
      </x:c>
      <x:c r="M29" t="str">
        <x:v>Maintenance</x:v>
      </x:c>
      <x:c r="N29" t="str">
        <x:v>Témoin sans panne rouge associée dans le jeu</x:v>
      </x:c>
    </x:row>
    <x:row r="30" ht="23" customHeight="1">
      <x:c r="A30" t="str">
        <x:v>AV-1029</x:v>
      </x:c>
      <x:c r="B30" t="str">
        <x:v>2025-05-23</x:v>
      </x:c>
      <x:c r="C30" t="str">
        <x:v>E05</x:v>
      </x:c>
      <x:c r="D30" t="str">
        <x:v>VR-509</x:v>
      </x:c>
      <x:c r="E30" t="str">
        <x:v>Fluides</x:v>
      </x:c>
      <x:c r="F30" t="str">
        <x:v>JAUNE</x:v>
      </x:c>
      <x:c r="G30" t="str">
        <x:v>Opportunité</x:v>
      </x:c>
      <x:c r="H30" t="str">
        <x:v>Pression instable</x:v>
      </x:c>
      <x:c r="I30" t="str">
        <x:v>Anomalie à vérifier : pression instable</x:v>
      </x:c>
      <x:c r="J30" t="str">
        <x:v>Ouvert</x:v>
      </x:c>
      <x:c r="K30" t="n">
        <x:v>0</x:v>
      </x:c>
      <x:c r="L30" t="n">
        <x:v>70</x:v>
      </x:c>
      <x:c r="M30" t="str">
        <x:v>Maintenance</x:v>
      </x:c>
      <x:c r="N30" t="str">
        <x:v>Témoin sans panne rouge associée dans le jeu</x:v>
      </x:c>
    </x:row>
    <x:row r="31" ht="23" customHeight="1">
      <x:c r="A31" t="str">
        <x:v>AV-1030</x:v>
      </x:c>
      <x:c r="B31" t="str">
        <x:v>2025-05-28</x:v>
      </x:c>
      <x:c r="C31" t="str">
        <x:v>E12</x:v>
      </x:c>
      <x:c r="D31" t="str">
        <x:v>AA-330</x:v>
      </x:c>
      <x:c r="E31" t="str">
        <x:v>Automatisme</x:v>
      </x:c>
      <x:c r="F31" t="str">
        <x:v>JAUNE</x:v>
      </x:c>
      <x:c r="G31" t="str">
        <x:v>Différé</x:v>
      </x:c>
      <x:c r="H31" t="str">
        <x:v>Jeu mécanique observé</x:v>
      </x:c>
      <x:c r="I31" t="str">
        <x:v>Anomalie à vérifier : jeu mécanique observé</x:v>
      </x:c>
      <x:c r="J31" t="str">
        <x:v>Ouvert</x:v>
      </x:c>
      <x:c r="K31" t="n">
        <x:v>5</x:v>
      </x:c>
      <x:c r="L31" t="n">
        <x:v>59</x:v>
      </x:c>
      <x:c r="M31" t="str">
        <x:v>Maintenance</x:v>
      </x:c>
      <x:c r="N31" t="str">
        <x:v>Témoin sans panne rouge associée dans le jeu</x:v>
      </x:c>
    </x:row>
    <x:row r="32" ht="23" customHeight="1">
      <x:c r="A32" t="str">
        <x:v>AV-1031</x:v>
      </x:c>
      <x:c r="B32" t="str">
        <x:v>2025-05-31</x:v>
      </x:c>
      <x:c r="C32" t="str">
        <x:v>E07</x:v>
      </x:c>
      <x:c r="D32" t="str">
        <x:v>GL-710</x:v>
      </x:c>
      <x:c r="E32" t="str">
        <x:v>Lubrification</x:v>
      </x:c>
      <x:c r="F32" t="str">
        <x:v>JAUNE</x:v>
      </x:c>
      <x:c r="G32" t="str">
        <x:v>Différé</x:v>
      </x:c>
      <x:c r="H32" t="str">
        <x:v>Bruit intermittent</x:v>
      </x:c>
      <x:c r="I32" t="str">
        <x:v>Anomalie à vérifier : bruit intermittent</x:v>
      </x:c>
      <x:c r="J32" t="str">
        <x:v>Clôturé</x:v>
      </x:c>
      <x:c r="K32" t="n">
        <x:v>2</x:v>
      </x:c>
      <x:c r="L32" t="n">
        <x:v>56</x:v>
      </x:c>
      <x:c r="M32" t="str">
        <x:v>Maintenance</x:v>
      </x:c>
      <x:c r="N32" t="str">
        <x:v>Témoin sans panne rouge associée dans le jeu</x:v>
      </x:c>
    </x:row>
    <x:row r="33" ht="23" customHeight="1">
      <x:c r="A33" t="str">
        <x:v>AV-1032</x:v>
      </x:c>
      <x:c r="B33" t="str">
        <x:v>2025-06-05</x:v>
      </x:c>
      <x:c r="C33" t="str">
        <x:v>E02</x:v>
      </x:c>
      <x:c r="D33" t="str">
        <x:v>PH-204</x:v>
      </x:c>
      <x:c r="E33" t="str">
        <x:v>Hydraulique</x:v>
      </x:c>
      <x:c r="F33" t="str">
        <x:v>JAUNE</x:v>
      </x:c>
      <x:c r="G33" t="str">
        <x:v>Différé</x:v>
      </x:c>
      <x:c r="H33" t="str">
        <x:v>Défaut capteur intermittent</x:v>
      </x:c>
      <x:c r="I33" t="str">
        <x:v>Anomalie à vérifier : défaut capteur intermittent</x:v>
      </x:c>
      <x:c r="J33" t="str">
        <x:v>Ouvert</x:v>
      </x:c>
      <x:c r="K33" t="n">
        <x:v>1</x:v>
      </x:c>
      <x:c r="L33" t="n">
        <x:v>36</x:v>
      </x:c>
      <x:c r="M33" t="str">
        <x:v>Maintenance</x:v>
      </x:c>
      <x:c r="N33" t="str">
        <x:v>Témoin sans panne rouge associée dans le jeu</x:v>
      </x:c>
    </x:row>
    <x:row r="34" ht="23" customHeight="1">
      <x:c r="A34" t="str">
        <x:v>AV-1033</x:v>
      </x:c>
      <x:c r="B34" t="str">
        <x:v>2025-06-11</x:v>
      </x:c>
      <x:c r="C34" t="str">
        <x:v>E09</x:v>
      </x:c>
      <x:c r="D34" t="str">
        <x:v>VS-901</x:v>
      </x:c>
      <x:c r="E34" t="str">
        <x:v>Hydraulique</x:v>
      </x:c>
      <x:c r="F34" t="str">
        <x:v>JAUNE</x:v>
      </x:c>
      <x:c r="G34" t="str">
        <x:v>À replanifier</x:v>
      </x:c>
      <x:c r="H34" t="str">
        <x:v>Fuite d’huile progressive</x:v>
      </x:c>
      <x:c r="I34" t="str">
        <x:v>Anomalie à vérifier : fuite d’huile progressive</x:v>
      </x:c>
      <x:c r="J34" t="str">
        <x:v>Ouvert</x:v>
      </x:c>
      <x:c r="K34" t="n">
        <x:v>3</x:v>
      </x:c>
      <x:c r="L34" t="n">
        <x:v>97</x:v>
      </x:c>
      <x:c r="M34" t="str">
        <x:v>Maintenance</x:v>
      </x:c>
      <x:c r="N34" t="str">
        <x:v>Témoin sans panne rouge associée dans le jeu</x:v>
      </x:c>
    </x:row>
    <x:row r="35" ht="23" customHeight="1">
      <x:c r="A35" t="str">
        <x:v>AV-1034</x:v>
      </x:c>
      <x:c r="B35" t="str">
        <x:v>2025-06-16</x:v>
      </x:c>
      <x:c r="C35" t="str">
        <x:v>E04</x:v>
      </x:c>
      <x:c r="D35" t="str">
        <x:v>MT-411</x:v>
      </x:c>
      <x:c r="E35" t="str">
        <x:v>Motorisation</x:v>
      </x:c>
      <x:c r="F35" t="str">
        <x:v>JAUNE</x:v>
      </x:c>
      <x:c r="G35" t="str">
        <x:v>Opportunité</x:v>
      </x:c>
      <x:c r="H35" t="str">
        <x:v>Température élevée</x:v>
      </x:c>
      <x:c r="I35" t="str">
        <x:v>Anomalie à vérifier : température élevée</x:v>
      </x:c>
      <x:c r="J35" t="str">
        <x:v>Clôturé</x:v>
      </x:c>
      <x:c r="K35" t="n">
        <x:v>4</x:v>
      </x:c>
      <x:c r="L35" t="n">
        <x:v>103</x:v>
      </x:c>
      <x:c r="M35" t="str">
        <x:v>Maintenance</x:v>
      </x:c>
      <x:c r="N35" t="str">
        <x:v>Témoin sans panne rouge associée dans le jeu</x:v>
      </x:c>
    </x:row>
    <x:row r="36" ht="23" customHeight="1">
      <x:c r="A36" t="str">
        <x:v>AV-1035</x:v>
      </x:c>
      <x:c r="B36" t="str">
        <x:v>2025-06-23</x:v>
      </x:c>
      <x:c r="C36" t="str">
        <x:v>E11</x:v>
      </x:c>
      <x:c r="D36" t="str">
        <x:v>CA-220</x:v>
      </x:c>
      <x:c r="E36" t="str">
        <x:v>Air comprimé</x:v>
      </x:c>
      <x:c r="F36" t="str">
        <x:v>JAUNE</x:v>
      </x:c>
      <x:c r="G36" t="str">
        <x:v>À replanifier</x:v>
      </x:c>
      <x:c r="H36" t="str">
        <x:v>Débit irrégulier</x:v>
      </x:c>
      <x:c r="I36" t="str">
        <x:v>Anomalie à vérifier : débit irrégulier</x:v>
      </x:c>
      <x:c r="J36" t="str">
        <x:v>Ouvert</x:v>
      </x:c>
      <x:c r="K36" t="n">
        <x:v>0</x:v>
      </x:c>
      <x:c r="L36" t="n">
        <x:v>75</x:v>
      </x:c>
      <x:c r="M36" t="str">
        <x:v>Maintenance</x:v>
      </x:c>
      <x:c r="N36" t="str">
        <x:v>Témoin sans panne rouge associée dans le jeu</x:v>
      </x:c>
    </x:row>
    <x:row r="37" ht="23" customHeight="1">
      <x:c r="A37" t="str">
        <x:v>AV-1036</x:v>
      </x:c>
      <x:c r="B37" t="str">
        <x:v>2025-06-25</x:v>
      </x:c>
      <x:c r="C37" t="str">
        <x:v>E06</x:v>
      </x:c>
      <x:c r="D37" t="str">
        <x:v>CP-615</x:v>
      </x:c>
      <x:c r="E37" t="str">
        <x:v>Instrumentation</x:v>
      </x:c>
      <x:c r="F37" t="str">
        <x:v>JAUNE</x:v>
      </x:c>
      <x:c r="G37" t="str">
        <x:v>Différé</x:v>
      </x:c>
      <x:c r="H37" t="str">
        <x:v>Vibration inhabituelle</x:v>
      </x:c>
      <x:c r="I37" t="str">
        <x:v>Anomalie à vérifier : vibration inhabituelle</x:v>
      </x:c>
      <x:c r="J37" t="str">
        <x:v>Ouvert</x:v>
      </x:c>
      <x:c r="K37" t="n">
        <x:v>4</x:v>
      </x:c>
      <x:c r="L37" t="n">
        <x:v>25</x:v>
      </x:c>
      <x:c r="M37" t="str">
        <x:v>Maintenance</x:v>
      </x:c>
      <x:c r="N37" t="str">
        <x:v>Témoin sans panne rouge associée dans le jeu</x:v>
      </x:c>
    </x:row>
    <x:row r="38" ht="23" customHeight="1">
      <x:c r="A38" t="str">
        <x:v>AV-1037</x:v>
      </x:c>
      <x:c r="B38" t="str">
        <x:v>2025-07-02</x:v>
      </x:c>
      <x:c r="C38" t="str">
        <x:v>E01</x:v>
      </x:c>
      <x:c r="D38" t="str">
        <x:v>CV-101</x:v>
      </x:c>
      <x:c r="E38" t="str">
        <x:v>Transmission</x:v>
      </x:c>
      <x:c r="F38" t="str">
        <x:v>JAUNE</x:v>
      </x:c>
      <x:c r="G38" t="str">
        <x:v>Différé</x:v>
      </x:c>
      <x:c r="H38" t="str">
        <x:v>Pression instable</x:v>
      </x:c>
      <x:c r="I38" t="str">
        <x:v>Anomalie à vérifier : pression instable</x:v>
      </x:c>
      <x:c r="J38" t="str">
        <x:v>Clôturé</x:v>
      </x:c>
      <x:c r="K38" t="n">
        <x:v>4</x:v>
      </x:c>
      <x:c r="L38" t="n">
        <x:v>84</x:v>
      </x:c>
      <x:c r="M38" t="str">
        <x:v>Maintenance</x:v>
      </x:c>
      <x:c r="N38" t="str">
        <x:v>Témoin sans panne rouge associée dans le jeu</x:v>
      </x:c>
    </x:row>
    <x:row r="39" ht="23" customHeight="1">
      <x:c r="A39" t="str">
        <x:v>AV-1038</x:v>
      </x:c>
      <x:c r="B39" t="str">
        <x:v>2025-07-06</x:v>
      </x:c>
      <x:c r="C39" t="str">
        <x:v>E08</x:v>
      </x:c>
      <x:c r="D39" t="str">
        <x:v>PE-802</x:v>
      </x:c>
      <x:c r="E39" t="str">
        <x:v>Fluides</x:v>
      </x:c>
      <x:c r="F39" t="str">
        <x:v>JAUNE</x:v>
      </x:c>
      <x:c r="G39" t="str">
        <x:v>Différé</x:v>
      </x:c>
      <x:c r="H39" t="str">
        <x:v>Jeu mécanique observé</x:v>
      </x:c>
      <x:c r="I39" t="str">
        <x:v>Anomalie à vérifier : jeu mécanique observé</x:v>
      </x:c>
      <x:c r="J39" t="str">
        <x:v>Ouvert</x:v>
      </x:c>
      <x:c r="K39" t="n">
        <x:v>3</x:v>
      </x:c>
      <x:c r="L39" t="n">
        <x:v>94</x:v>
      </x:c>
      <x:c r="M39" t="str">
        <x:v>Maintenance</x:v>
      </x:c>
      <x:c r="N39" t="str">
        <x:v>Témoin sans panne rouge associée dans le jeu</x:v>
      </x:c>
    </x:row>
    <x:row r="40" ht="23" customHeight="1">
      <x:c r="A40" t="str">
        <x:v>AV-1039</x:v>
      </x:c>
      <x:c r="B40" t="str">
        <x:v>2025-07-10</x:v>
      </x:c>
      <x:c r="C40" t="str">
        <x:v>E03</x:v>
      </x:c>
      <x:c r="D40" t="str">
        <x:v>VF-302</x:v>
      </x:c>
      <x:c r="E40" t="str">
        <x:v>Ventilation</x:v>
      </x:c>
      <x:c r="F40" t="str">
        <x:v>JAUNE</x:v>
      </x:c>
      <x:c r="G40" t="str">
        <x:v>Différé</x:v>
      </x:c>
      <x:c r="H40" t="str">
        <x:v>Bruit intermittent</x:v>
      </x:c>
      <x:c r="I40" t="str">
        <x:v>Anomalie à vérifier : bruit intermittent</x:v>
      </x:c>
      <x:c r="J40" t="str">
        <x:v>Ouvert</x:v>
      </x:c>
      <x:c r="K40" t="n">
        <x:v>2</x:v>
      </x:c>
      <x:c r="L40" t="n">
        <x:v>5</x:v>
      </x:c>
      <x:c r="M40" t="str">
        <x:v>Maintenance</x:v>
      </x:c>
      <x:c r="N40" t="str">
        <x:v>Témoin sans panne rouge associée dans le jeu</x:v>
      </x:c>
    </x:row>
    <x:row r="41" ht="23" customHeight="1">
      <x:c r="A41" t="str">
        <x:v>AV-1040</x:v>
      </x:c>
      <x:c r="B41" t="str">
        <x:v>2025-07-15</x:v>
      </x:c>
      <x:c r="C41" t="str">
        <x:v>E10</x:v>
      </x:c>
      <x:c r="D41" t="str">
        <x:v>CS-102</x:v>
      </x:c>
      <x:c r="E41" t="str">
        <x:v>Transport</x:v>
      </x:c>
      <x:c r="F41" t="str">
        <x:v>JAUNE</x:v>
      </x:c>
      <x:c r="G41" t="str">
        <x:v>À replanifier</x:v>
      </x:c>
      <x:c r="H41" t="str">
        <x:v>Défaut capteur intermittent</x:v>
      </x:c>
      <x:c r="I41" t="str">
        <x:v>Anomalie à vérifier : défaut capteur intermittent</x:v>
      </x:c>
      <x:c r="J41" t="str">
        <x:v>Clôturé</x:v>
      </x:c>
      <x:c r="K41" t="n">
        <x:v>2</x:v>
      </x:c>
      <x:c r="L41" t="n">
        <x:v>115</x:v>
      </x:c>
      <x:c r="M41" t="str">
        <x:v>Maintenance</x:v>
      </x:c>
      <x:c r="N41" t="str">
        <x:v>Témoin sans panne rouge associée dans le jeu</x:v>
      </x:c>
    </x:row>
    <x:row r="42" ht="23" customHeight="1">
      <x:c r="A42" t="str">
        <x:v>AV-1041</x:v>
      </x:c>
      <x:c r="B42" t="str">
        <x:v>2025-07-21</x:v>
      </x:c>
      <x:c r="C42" t="str">
        <x:v>E05</x:v>
      </x:c>
      <x:c r="D42" t="str">
        <x:v>VR-509</x:v>
      </x:c>
      <x:c r="E42" t="str">
        <x:v>Fluides</x:v>
      </x:c>
      <x:c r="F42" t="str">
        <x:v>JAUNE</x:v>
      </x:c>
      <x:c r="G42" t="str">
        <x:v>À replanifier</x:v>
      </x:c>
      <x:c r="H42" t="str">
        <x:v>Fuite d’huile progressive</x:v>
      </x:c>
      <x:c r="I42" t="str">
        <x:v>Anomalie à vérifier : fuite d’huile progressive</x:v>
      </x:c>
      <x:c r="J42" t="str">
        <x:v>Ouvert</x:v>
      </x:c>
      <x:c r="K42" t="n">
        <x:v>4</x:v>
      </x:c>
      <x:c r="L42" t="n">
        <x:v>81</x:v>
      </x:c>
      <x:c r="M42" t="str">
        <x:v>Maintenance</x:v>
      </x:c>
      <x:c r="N42" t="str">
        <x:v>Témoin sans panne rouge associée dans le jeu</x:v>
      </x:c>
    </x:row>
    <x:row r="43" ht="23" customHeight="1">
      <x:c r="A43" t="str">
        <x:v>AV-1042</x:v>
      </x:c>
      <x:c r="B43" t="str">
        <x:v>2025-07-26</x:v>
      </x:c>
      <x:c r="C43" t="str">
        <x:v>E12</x:v>
      </x:c>
      <x:c r="D43" t="str">
        <x:v>AA-330</x:v>
      </x:c>
      <x:c r="E43" t="str">
        <x:v>Automatisme</x:v>
      </x:c>
      <x:c r="F43" t="str">
        <x:v>JAUNE</x:v>
      </x:c>
      <x:c r="G43" t="str">
        <x:v>À replanifier</x:v>
      </x:c>
      <x:c r="H43" t="str">
        <x:v>Température élevée</x:v>
      </x:c>
      <x:c r="I43" t="str">
        <x:v>Anomalie à vérifier : température élevée</x:v>
      </x:c>
      <x:c r="J43" t="str">
        <x:v>Ouvert</x:v>
      </x:c>
      <x:c r="K43" t="n">
        <x:v>2</x:v>
      </x:c>
      <x:c r="L43" t="n">
        <x:v>73</x:v>
      </x:c>
      <x:c r="M43" t="str">
        <x:v>Maintenance</x:v>
      </x:c>
      <x:c r="N43" t="str">
        <x:v>Témoin sans panne rouge associée dans le jeu</x:v>
      </x:c>
    </x:row>
    <x:row r="44" ht="23" customHeight="1">
      <x:c r="A44" t="str">
        <x:v>AV-1043</x:v>
      </x:c>
      <x:c r="B44" t="str">
        <x:v>2025-08-03</x:v>
      </x:c>
      <x:c r="C44" t="str">
        <x:v>E07</x:v>
      </x:c>
      <x:c r="D44" t="str">
        <x:v>GL-710</x:v>
      </x:c>
      <x:c r="E44" t="str">
        <x:v>Lubrification</x:v>
      </x:c>
      <x:c r="F44" t="str">
        <x:v>JAUNE</x:v>
      </x:c>
      <x:c r="G44" t="str">
        <x:v>À replanifier</x:v>
      </x:c>
      <x:c r="H44" t="str">
        <x:v>Débit irrégulier</x:v>
      </x:c>
      <x:c r="I44" t="str">
        <x:v>Anomalie à vérifier : débit irrégulier</x:v>
      </x:c>
      <x:c r="J44" t="str">
        <x:v>Clôturé</x:v>
      </x:c>
      <x:c r="K44" t="n">
        <x:v>0</x:v>
      </x:c>
      <x:c r="L44" t="n">
        <x:v>112</x:v>
      </x:c>
      <x:c r="M44" t="str">
        <x:v>Maintenance</x:v>
      </x:c>
      <x:c r="N44" t="str">
        <x:v>Témoin sans panne rouge associée dans le jeu</x:v>
      </x:c>
    </x:row>
    <x:row r="45" ht="23" customHeight="1">
      <x:c r="A45" t="str">
        <x:v>AV-1044</x:v>
      </x:c>
      <x:c r="B45" t="str">
        <x:v>2025-08-08</x:v>
      </x:c>
      <x:c r="C45" t="str">
        <x:v>E02</x:v>
      </x:c>
      <x:c r="D45" t="str">
        <x:v>PH-204</x:v>
      </x:c>
      <x:c r="E45" t="str">
        <x:v>Hydraulique</x:v>
      </x:c>
      <x:c r="F45" t="str">
        <x:v>JAUNE</x:v>
      </x:c>
      <x:c r="G45" t="str">
        <x:v>Opportunité</x:v>
      </x:c>
      <x:c r="H45" t="str">
        <x:v>Vibration inhabituelle</x:v>
      </x:c>
      <x:c r="I45" t="str">
        <x:v>Anomalie à vérifier : vibration inhabituelle</x:v>
      </x:c>
      <x:c r="J45" t="str">
        <x:v>Ouvert</x:v>
      </x:c>
      <x:c r="K45" t="n">
        <x:v>4</x:v>
      </x:c>
      <x:c r="L45" t="n">
        <x:v>65</x:v>
      </x:c>
      <x:c r="M45" t="str">
        <x:v>Maintenance</x:v>
      </x:c>
      <x:c r="N45" t="str">
        <x:v>Témoin sans panne rouge associée dans le jeu</x:v>
      </x:c>
    </x:row>
    <x:row r="46" ht="23" customHeight="1">
      <x:c r="A46" t="str">
        <x:v>AV-1045</x:v>
      </x:c>
      <x:c r="B46" t="str">
        <x:v>2025-08-09</x:v>
      </x:c>
      <x:c r="C46" t="str">
        <x:v>E09</x:v>
      </x:c>
      <x:c r="D46" t="str">
        <x:v>VS-901</x:v>
      </x:c>
      <x:c r="E46" t="str">
        <x:v>Hydraulique</x:v>
      </x:c>
      <x:c r="F46" t="str">
        <x:v>JAUNE</x:v>
      </x:c>
      <x:c r="G46" t="str">
        <x:v>Opportunité</x:v>
      </x:c>
      <x:c r="H46" t="str">
        <x:v>Pression instable</x:v>
      </x:c>
      <x:c r="I46" t="str">
        <x:v>Anomalie à vérifier : pression instable</x:v>
      </x:c>
      <x:c r="J46" t="str">
        <x:v>Ouvert</x:v>
      </x:c>
      <x:c r="K46" t="n">
        <x:v>3</x:v>
      </x:c>
      <x:c r="L46" t="n">
        <x:v>17</x:v>
      </x:c>
      <x:c r="M46" t="str">
        <x:v>Maintenance</x:v>
      </x:c>
      <x:c r="N46" t="str">
        <x:v>Témoin sans panne rouge associée dans le jeu</x:v>
      </x:c>
    </x:row>
    <x:row r="47" ht="23" customHeight="1">
      <x:c r="A47" t="str">
        <x:v>AV-1046</x:v>
      </x:c>
      <x:c r="B47" t="str">
        <x:v>2025-08-16</x:v>
      </x:c>
      <x:c r="C47" t="str">
        <x:v>E04</x:v>
      </x:c>
      <x:c r="D47" t="str">
        <x:v>MT-411</x:v>
      </x:c>
      <x:c r="E47" t="str">
        <x:v>Motorisation</x:v>
      </x:c>
      <x:c r="F47" t="str">
        <x:v>JAUNE</x:v>
      </x:c>
      <x:c r="G47" t="str">
        <x:v>À replanifier</x:v>
      </x:c>
      <x:c r="H47" t="str">
        <x:v>Jeu mécanique observé</x:v>
      </x:c>
      <x:c r="I47" t="str">
        <x:v>Anomalie à vérifier : jeu mécanique observé</x:v>
      </x:c>
      <x:c r="J47" t="str">
        <x:v>Clôturé</x:v>
      </x:c>
      <x:c r="K47" t="n">
        <x:v>3</x:v>
      </x:c>
      <x:c r="L47" t="n">
        <x:v>41</x:v>
      </x:c>
      <x:c r="M47" t="str">
        <x:v>Maintenance</x:v>
      </x:c>
      <x:c r="N47" t="str">
        <x:v>Témoin sans panne rouge associée dans le jeu</x:v>
      </x:c>
    </x:row>
    <x:row r="48" ht="23" customHeight="1">
      <x:c r="A48" t="str">
        <x:v>AV-1047</x:v>
      </x:c>
      <x:c r="B48" t="str">
        <x:v>2025-08-23</x:v>
      </x:c>
      <x:c r="C48" t="str">
        <x:v>E11</x:v>
      </x:c>
      <x:c r="D48" t="str">
        <x:v>CA-220</x:v>
      </x:c>
      <x:c r="E48" t="str">
        <x:v>Air comprimé</x:v>
      </x:c>
      <x:c r="F48" t="str">
        <x:v>JAUNE</x:v>
      </x:c>
      <x:c r="G48" t="str">
        <x:v>Différé</x:v>
      </x:c>
      <x:c r="H48" t="str">
        <x:v>Bruit intermittent</x:v>
      </x:c>
      <x:c r="I48" t="str">
        <x:v>Anomalie à vérifier : bruit intermittent</x:v>
      </x:c>
      <x:c r="J48" t="str">
        <x:v>Ouvert</x:v>
      </x:c>
      <x:c r="K48" t="n">
        <x:v>4</x:v>
      </x:c>
      <x:c r="L48" t="n">
        <x:v>20</x:v>
      </x:c>
      <x:c r="M48" t="str">
        <x:v>Maintenance</x:v>
      </x:c>
      <x:c r="N48" t="str">
        <x:v>Témoin sans panne rouge associée dans le jeu</x:v>
      </x:c>
    </x:row>
    <x:row r="49" ht="23" customHeight="1">
      <x:c r="A49" t="str">
        <x:v>AV-1048</x:v>
      </x:c>
      <x:c r="B49" t="str">
        <x:v>2025-08-24</x:v>
      </x:c>
      <x:c r="C49" t="str">
        <x:v>E06</x:v>
      </x:c>
      <x:c r="D49" t="str">
        <x:v>CP-615</x:v>
      </x:c>
      <x:c r="E49" t="str">
        <x:v>Instrumentation</x:v>
      </x:c>
      <x:c r="F49" t="str">
        <x:v>JAUNE</x:v>
      </x:c>
      <x:c r="G49" t="str">
        <x:v>À replanifier</x:v>
      </x:c>
      <x:c r="H49" t="str">
        <x:v>Défaut capteur intermittent</x:v>
      </x:c>
      <x:c r="I49" t="str">
        <x:v>Anomalie à vérifier : défaut capteur intermittent</x:v>
      </x:c>
      <x:c r="J49" t="str">
        <x:v>Ouvert</x:v>
      </x:c>
      <x:c r="K49" t="n">
        <x:v>3</x:v>
      </x:c>
      <x:c r="L49" t="n">
        <x:v>62</x:v>
      </x:c>
      <x:c r="M49" t="str">
        <x:v>Maintenance</x:v>
      </x:c>
      <x:c r="N49" t="str">
        <x:v>Témoin sans panne rouge associée dans le jeu</x:v>
      </x:c>
    </x:row>
    <x:row r="50" ht="23" customHeight="1">
      <x:c r="A50" t="str">
        <x:v>AV-1049</x:v>
      </x:c>
      <x:c r="B50" t="str">
        <x:v>2025-08-29</x:v>
      </x:c>
      <x:c r="C50" t="str">
        <x:v>E01</x:v>
      </x:c>
      <x:c r="D50" t="str">
        <x:v>CV-101</x:v>
      </x:c>
      <x:c r="E50" t="str">
        <x:v>Transmission</x:v>
      </x:c>
      <x:c r="F50" t="str">
        <x:v>JAUNE</x:v>
      </x:c>
      <x:c r="G50" t="str">
        <x:v>À replanifier</x:v>
      </x:c>
      <x:c r="H50" t="str">
        <x:v>Fuite d’huile progressive</x:v>
      </x:c>
      <x:c r="I50" t="str">
        <x:v>Anomalie à vérifier : fuite d’huile progressive</x:v>
      </x:c>
      <x:c r="J50" t="str">
        <x:v>Clôturé</x:v>
      </x:c>
      <x:c r="K50" t="n">
        <x:v>4</x:v>
      </x:c>
      <x:c r="L50" t="n">
        <x:v>58</x:v>
      </x:c>
      <x:c r="M50" t="str">
        <x:v>Maintenance</x:v>
      </x:c>
      <x:c r="N50" t="str">
        <x:v>Témoin sans panne rouge associée dans le jeu</x:v>
      </x:c>
    </x:row>
    <x:row r="51" ht="23" customHeight="1">
      <x:c r="A51" t="str">
        <x:v>AV-1050</x:v>
      </x:c>
      <x:c r="B51" t="str">
        <x:v>2025-09-03</x:v>
      </x:c>
      <x:c r="C51" t="str">
        <x:v>E08</x:v>
      </x:c>
      <x:c r="D51" t="str">
        <x:v>PE-802</x:v>
      </x:c>
      <x:c r="E51" t="str">
        <x:v>Fluides</x:v>
      </x:c>
      <x:c r="F51" t="str">
        <x:v>JAUNE</x:v>
      </x:c>
      <x:c r="G51" t="str">
        <x:v>Opportunité</x:v>
      </x:c>
      <x:c r="H51" t="str">
        <x:v>Température élevée</x:v>
      </x:c>
      <x:c r="I51" t="str">
        <x:v>Anomalie à vérifier : température élevée</x:v>
      </x:c>
      <x:c r="J51" t="str">
        <x:v>Ouvert</x:v>
      </x:c>
      <x:c r="K51" t="n">
        <x:v>5</x:v>
      </x:c>
      <x:c r="L51" t="n">
        <x:v>103</x:v>
      </x:c>
      <x:c r="M51" t="str">
        <x:v>Maintenance</x:v>
      </x:c>
      <x:c r="N51" t="str">
        <x:v>Témoin sans panne rouge associée dans le jeu</x:v>
      </x:c>
    </x:row>
    <x:row r="52" ht="23" customHeight="1">
      <x:c r="A52" t="str">
        <x:v>AV-1051</x:v>
      </x:c>
      <x:c r="B52" t="str">
        <x:v>2025-09-11</x:v>
      </x:c>
      <x:c r="C52" t="str">
        <x:v>E03</x:v>
      </x:c>
      <x:c r="D52" t="str">
        <x:v>VF-302</x:v>
      </x:c>
      <x:c r="E52" t="str">
        <x:v>Ventilation</x:v>
      </x:c>
      <x:c r="F52" t="str">
        <x:v>JAUNE</x:v>
      </x:c>
      <x:c r="G52" t="str">
        <x:v>Différé</x:v>
      </x:c>
      <x:c r="H52" t="str">
        <x:v>Débit irrégulier</x:v>
      </x:c>
      <x:c r="I52" t="str">
        <x:v>Anomalie à vérifier : débit irrégulier</x:v>
      </x:c>
      <x:c r="J52" t="str">
        <x:v>Ouvert</x:v>
      </x:c>
      <x:c r="K52" t="n">
        <x:v>1</x:v>
      </x:c>
      <x:c r="L52" t="n">
        <x:v>67</x:v>
      </x:c>
      <x:c r="M52" t="str">
        <x:v>Maintenance</x:v>
      </x:c>
      <x:c r="N52" t="str">
        <x:v>Témoin sans panne rouge associée dans le jeu</x:v>
      </x:c>
    </x:row>
    <x:row r="53" ht="23" customHeight="1">
      <x:c r="A53" t="str">
        <x:v>AV-1052</x:v>
      </x:c>
      <x:c r="B53" t="str">
        <x:v>2025-09-15</x:v>
      </x:c>
      <x:c r="C53" t="str">
        <x:v>E10</x:v>
      </x:c>
      <x:c r="D53" t="str">
        <x:v>CS-102</x:v>
      </x:c>
      <x:c r="E53" t="str">
        <x:v>Transport</x:v>
      </x:c>
      <x:c r="F53" t="str">
        <x:v>JAUNE</x:v>
      </x:c>
      <x:c r="G53" t="str">
        <x:v>Opportunité</x:v>
      </x:c>
      <x:c r="H53" t="str">
        <x:v>Vibration inhabituelle</x:v>
      </x:c>
      <x:c r="I53" t="str">
        <x:v>Anomalie à vérifier : vibration inhabituelle</x:v>
      </x:c>
      <x:c r="J53" t="str">
        <x:v>Clôturé</x:v>
      </x:c>
      <x:c r="K53" t="n">
        <x:v>1</x:v>
      </x:c>
      <x:c r="L53" t="n">
        <x:v>104</x:v>
      </x:c>
      <x:c r="M53" t="str">
        <x:v>Maintenance</x:v>
      </x:c>
      <x:c r="N53" t="str">
        <x:v>Témoin sans panne rouge associée dans le jeu</x:v>
      </x:c>
    </x:row>
    <x:row r="54" ht="23" customHeight="1">
      <x:c r="A54" t="str">
        <x:v>AV-1053</x:v>
      </x:c>
      <x:c r="B54" t="str">
        <x:v>2025-09-21</x:v>
      </x:c>
      <x:c r="C54" t="str">
        <x:v>E05</x:v>
      </x:c>
      <x:c r="D54" t="str">
        <x:v>VR-509</x:v>
      </x:c>
      <x:c r="E54" t="str">
        <x:v>Fluides</x:v>
      </x:c>
      <x:c r="F54" t="str">
        <x:v>JAUNE</x:v>
      </x:c>
      <x:c r="G54" t="str">
        <x:v>À replanifier</x:v>
      </x:c>
      <x:c r="H54" t="str">
        <x:v>Pression instable</x:v>
      </x:c>
      <x:c r="I54" t="str">
        <x:v>Anomalie à vérifier : pression instable</x:v>
      </x:c>
      <x:c r="J54" t="str">
        <x:v>Ouvert</x:v>
      </x:c>
      <x:c r="K54" t="n">
        <x:v>0</x:v>
      </x:c>
      <x:c r="L54" t="n">
        <x:v>5</x:v>
      </x:c>
      <x:c r="M54" t="str">
        <x:v>Maintenance</x:v>
      </x:c>
      <x:c r="N54" t="str">
        <x:v>Témoin sans panne rouge associée dans le jeu</x:v>
      </x:c>
    </x:row>
    <x:row r="55" ht="23" customHeight="1">
      <x:c r="A55" t="str">
        <x:v>AV-1054</x:v>
      </x:c>
      <x:c r="B55" t="str">
        <x:v>2025-09-26</x:v>
      </x:c>
      <x:c r="C55" t="str">
        <x:v>E12</x:v>
      </x:c>
      <x:c r="D55" t="str">
        <x:v>AA-330</x:v>
      </x:c>
      <x:c r="E55" t="str">
        <x:v>Automatisme</x:v>
      </x:c>
      <x:c r="F55" t="str">
        <x:v>JAUNE</x:v>
      </x:c>
      <x:c r="G55" t="str">
        <x:v>Opportunité</x:v>
      </x:c>
      <x:c r="H55" t="str">
        <x:v>Jeu mécanique observé</x:v>
      </x:c>
      <x:c r="I55" t="str">
        <x:v>Anomalie à vérifier : jeu mécanique observé</x:v>
      </x:c>
      <x:c r="J55" t="str">
        <x:v>Ouvert</x:v>
      </x:c>
      <x:c r="K55" t="n">
        <x:v>5</x:v>
      </x:c>
      <x:c r="L55" t="n">
        <x:v>61</x:v>
      </x:c>
      <x:c r="M55" t="str">
        <x:v>Maintenance</x:v>
      </x:c>
      <x:c r="N55" t="str">
        <x:v>Témoin sans panne rouge associée dans le jeu</x:v>
      </x:c>
    </x:row>
    <x:row r="56" ht="23" customHeight="1">
      <x:c r="A56" t="str">
        <x:v>AV-1055</x:v>
      </x:c>
      <x:c r="B56" t="str">
        <x:v>2025-10-02</x:v>
      </x:c>
      <x:c r="C56" t="str">
        <x:v>E07</x:v>
      </x:c>
      <x:c r="D56" t="str">
        <x:v>GL-710</x:v>
      </x:c>
      <x:c r="E56" t="str">
        <x:v>Lubrification</x:v>
      </x:c>
      <x:c r="F56" t="str">
        <x:v>JAUNE</x:v>
      </x:c>
      <x:c r="G56" t="str">
        <x:v>À replanifier</x:v>
      </x:c>
      <x:c r="H56" t="str">
        <x:v>Bruit intermittent</x:v>
      </x:c>
      <x:c r="I56" t="str">
        <x:v>Anomalie à vérifier : bruit intermittent</x:v>
      </x:c>
      <x:c r="J56" t="str">
        <x:v>Clôturé</x:v>
      </x:c>
      <x:c r="K56" t="n">
        <x:v>5</x:v>
      </x:c>
      <x:c r="L56" t="n">
        <x:v>90</x:v>
      </x:c>
      <x:c r="M56" t="str">
        <x:v>Maintenance</x:v>
      </x:c>
      <x:c r="N56" t="str">
        <x:v>Témoin sans panne rouge associée dans le jeu</x:v>
      </x:c>
    </x:row>
    <x:row r="57" ht="23" customHeight="1">
      <x:c r="A57" t="str">
        <x:v>AV-1056</x:v>
      </x:c>
      <x:c r="B57" t="str">
        <x:v>2025-10-03</x:v>
      </x:c>
      <x:c r="C57" t="str">
        <x:v>E02</x:v>
      </x:c>
      <x:c r="D57" t="str">
        <x:v>PH-204</x:v>
      </x:c>
      <x:c r="E57" t="str">
        <x:v>Hydraulique</x:v>
      </x:c>
      <x:c r="F57" t="str">
        <x:v>JAUNE</x:v>
      </x:c>
      <x:c r="G57" t="str">
        <x:v>Différé</x:v>
      </x:c>
      <x:c r="H57" t="str">
        <x:v>Défaut capteur intermittent</x:v>
      </x:c>
      <x:c r="I57" t="str">
        <x:v>Anomalie à vérifier : défaut capteur intermittent</x:v>
      </x:c>
      <x:c r="J57" t="str">
        <x:v>Ouvert</x:v>
      </x:c>
      <x:c r="K57" t="n">
        <x:v>5</x:v>
      </x:c>
      <x:c r="L57" t="n">
        <x:v>74</x:v>
      </x:c>
      <x:c r="M57" t="str">
        <x:v>Maintenance</x:v>
      </x:c>
      <x:c r="N57" t="str">
        <x:v>Témoin sans panne rouge associée dans le jeu</x:v>
      </x:c>
    </x:row>
    <x:row r="58" ht="23" customHeight="1">
      <x:c r="A58" t="str">
        <x:v>AV-1057</x:v>
      </x:c>
      <x:c r="B58" t="str">
        <x:v>2025-10-10</x:v>
      </x:c>
      <x:c r="C58" t="str">
        <x:v>E09</x:v>
      </x:c>
      <x:c r="D58" t="str">
        <x:v>VS-901</x:v>
      </x:c>
      <x:c r="E58" t="str">
        <x:v>Hydraulique</x:v>
      </x:c>
      <x:c r="F58" t="str">
        <x:v>JAUNE</x:v>
      </x:c>
      <x:c r="G58" t="str">
        <x:v>Opportunité</x:v>
      </x:c>
      <x:c r="H58" t="str">
        <x:v>Fuite d’huile progressive</x:v>
      </x:c>
      <x:c r="I58" t="str">
        <x:v>Anomalie à vérifier : fuite d’huile progressive</x:v>
      </x:c>
      <x:c r="J58" t="str">
        <x:v>Ouvert</x:v>
      </x:c>
      <x:c r="K58" t="n">
        <x:v>4</x:v>
      </x:c>
      <x:c r="L58" t="n">
        <x:v>8</x:v>
      </x:c>
      <x:c r="M58" t="str">
        <x:v>Maintenance</x:v>
      </x:c>
      <x:c r="N58" t="str">
        <x:v>Témoin sans panne rouge associée dans le jeu</x:v>
      </x:c>
    </x:row>
    <x:row r="59" ht="23" customHeight="1">
      <x:c r="A59" t="str">
        <x:v>AV-1058</x:v>
      </x:c>
      <x:c r="B59" t="str">
        <x:v>2025-10-16</x:v>
      </x:c>
      <x:c r="C59" t="str">
        <x:v>E04</x:v>
      </x:c>
      <x:c r="D59" t="str">
        <x:v>MT-411</x:v>
      </x:c>
      <x:c r="E59" t="str">
        <x:v>Motorisation</x:v>
      </x:c>
      <x:c r="F59" t="str">
        <x:v>JAUNE</x:v>
      </x:c>
      <x:c r="G59" t="str">
        <x:v>Différé</x:v>
      </x:c>
      <x:c r="H59" t="str">
        <x:v>Température élevée</x:v>
      </x:c>
      <x:c r="I59" t="str">
        <x:v>Anomalie à vérifier : température élevée</x:v>
      </x:c>
      <x:c r="J59" t="str">
        <x:v>Clôturé</x:v>
      </x:c>
      <x:c r="K59" t="n">
        <x:v>5</x:v>
      </x:c>
      <x:c r="L59" t="n">
        <x:v>52</x:v>
      </x:c>
      <x:c r="M59" t="str">
        <x:v>Maintenance</x:v>
      </x:c>
      <x:c r="N59" t="str">
        <x:v>Témoin sans panne rouge associée dans le jeu</x:v>
      </x:c>
    </x:row>
    <x:row r="60" ht="23" customHeight="1">
      <x:c r="A60" t="str">
        <x:v>AV-1059</x:v>
      </x:c>
      <x:c r="B60" t="str">
        <x:v>2025-10-18</x:v>
      </x:c>
      <x:c r="C60" t="str">
        <x:v>E11</x:v>
      </x:c>
      <x:c r="D60" t="str">
        <x:v>CA-220</x:v>
      </x:c>
      <x:c r="E60" t="str">
        <x:v>Air comprimé</x:v>
      </x:c>
      <x:c r="F60" t="str">
        <x:v>JAUNE</x:v>
      </x:c>
      <x:c r="G60" t="str">
        <x:v>À replanifier</x:v>
      </x:c>
      <x:c r="H60" t="str">
        <x:v>Débit irrégulier</x:v>
      </x:c>
      <x:c r="I60" t="str">
        <x:v>Anomalie à vérifier : débit irrégulier</x:v>
      </x:c>
      <x:c r="J60" t="str">
        <x:v>Ouvert</x:v>
      </x:c>
      <x:c r="K60" t="n">
        <x:v>5</x:v>
      </x:c>
      <x:c r="L60" t="n">
        <x:v>115</x:v>
      </x:c>
      <x:c r="M60" t="str">
        <x:v>Maintenance</x:v>
      </x:c>
      <x:c r="N60" t="str">
        <x:v>Témoin sans panne rouge associée dans le jeu</x:v>
      </x:c>
    </x:row>
    <x:row r="61" ht="23" customHeight="1">
      <x:c r="A61" t="str">
        <x:v>AV-1060</x:v>
      </x:c>
      <x:c r="B61" t="str">
        <x:v>2025-10-27</x:v>
      </x:c>
      <x:c r="C61" t="str">
        <x:v>E06</x:v>
      </x:c>
      <x:c r="D61" t="str">
        <x:v>CP-615</x:v>
      </x:c>
      <x:c r="E61" t="str">
        <x:v>Instrumentation</x:v>
      </x:c>
      <x:c r="F61" t="str">
        <x:v>JAUNE</x:v>
      </x:c>
      <x:c r="G61" t="str">
        <x:v>Opportunité</x:v>
      </x:c>
      <x:c r="H61" t="str">
        <x:v>Vibration inhabituelle</x:v>
      </x:c>
      <x:c r="I61" t="str">
        <x:v>Anomalie à vérifier : vibration inhabituelle</x:v>
      </x:c>
      <x:c r="J61" t="str">
        <x:v>Ouvert</x:v>
      </x:c>
      <x:c r="K61" t="n">
        <x:v>4</x:v>
      </x:c>
      <x:c r="L61" t="n">
        <x:v>79</x:v>
      </x:c>
      <x:c r="M61" t="str">
        <x:v>Maintenance</x:v>
      </x:c>
      <x:c r="N61" t="str">
        <x:v>Témoin sans panne rouge associée dans le jeu</x:v>
      </x:c>
    </x:row>
    <x:row r="62" ht="23" customHeight="1">
      <x:c r="A62" t="str">
        <x:v>AV-1061</x:v>
      </x:c>
      <x:c r="B62" t="str">
        <x:v>2025-10-30</x:v>
      </x:c>
      <x:c r="C62" t="str">
        <x:v>E01</x:v>
      </x:c>
      <x:c r="D62" t="str">
        <x:v>CV-101</x:v>
      </x:c>
      <x:c r="E62" t="str">
        <x:v>Transmission</x:v>
      </x:c>
      <x:c r="F62" t="str">
        <x:v>JAUNE</x:v>
      </x:c>
      <x:c r="G62" t="str">
        <x:v>Opportunité</x:v>
      </x:c>
      <x:c r="H62" t="str">
        <x:v>Pression instable</x:v>
      </x:c>
      <x:c r="I62" t="str">
        <x:v>Anomalie à vérifier : pression instable</x:v>
      </x:c>
      <x:c r="J62" t="str">
        <x:v>Clôturé</x:v>
      </x:c>
      <x:c r="K62" t="n">
        <x:v>3</x:v>
      </x:c>
      <x:c r="L62" t="n">
        <x:v>77</x:v>
      </x:c>
      <x:c r="M62" t="str">
        <x:v>Maintenance</x:v>
      </x:c>
      <x:c r="N62" t="str">
        <x:v>Témoin sans panne rouge associée dans le jeu</x:v>
      </x:c>
    </x:row>
    <x:row r="63" ht="23" customHeight="1">
      <x:c r="A63" t="str">
        <x:v>AV-1062</x:v>
      </x:c>
      <x:c r="B63" t="str">
        <x:v>2025-11-03</x:v>
      </x:c>
      <x:c r="C63" t="str">
        <x:v>E08</x:v>
      </x:c>
      <x:c r="D63" t="str">
        <x:v>PE-802</x:v>
      </x:c>
      <x:c r="E63" t="str">
        <x:v>Fluides</x:v>
      </x:c>
      <x:c r="F63" t="str">
        <x:v>JAUNE</x:v>
      </x:c>
      <x:c r="G63" t="str">
        <x:v>À replanifier</x:v>
      </x:c>
      <x:c r="H63" t="str">
        <x:v>Jeu mécanique observé</x:v>
      </x:c>
      <x:c r="I63" t="str">
        <x:v>Anomalie à vérifier : jeu mécanique observé</x:v>
      </x:c>
      <x:c r="J63" t="str">
        <x:v>Ouvert</x:v>
      </x:c>
      <x:c r="K63" t="n">
        <x:v>0</x:v>
      </x:c>
      <x:c r="L63" t="n">
        <x:v>96</x:v>
      </x:c>
      <x:c r="M63" t="str">
        <x:v>Maintenance</x:v>
      </x:c>
      <x:c r="N63" t="str">
        <x:v>Témoin sans panne rouge associée dans le jeu</x:v>
      </x:c>
    </x:row>
    <x:row r="64" ht="23" customHeight="1">
      <x:c r="A64" t="str">
        <x:v>AV-1063</x:v>
      </x:c>
      <x:c r="B64" t="str">
        <x:v>2025-11-07</x:v>
      </x:c>
      <x:c r="C64" t="str">
        <x:v>E03</x:v>
      </x:c>
      <x:c r="D64" t="str">
        <x:v>VF-302</x:v>
      </x:c>
      <x:c r="E64" t="str">
        <x:v>Ventilation</x:v>
      </x:c>
      <x:c r="F64" t="str">
        <x:v>JAUNE</x:v>
      </x:c>
      <x:c r="G64" t="str">
        <x:v>Opportunité</x:v>
      </x:c>
      <x:c r="H64" t="str">
        <x:v>Bruit intermittent</x:v>
      </x:c>
      <x:c r="I64" t="str">
        <x:v>Anomalie à vérifier : bruit intermittent</x:v>
      </x:c>
      <x:c r="J64" t="str">
        <x:v>Ouvert</x:v>
      </x:c>
      <x:c r="K64" t="n">
        <x:v>3</x:v>
      </x:c>
      <x:c r="L64" t="n">
        <x:v>68</x:v>
      </x:c>
      <x:c r="M64" t="str">
        <x:v>Maintenance</x:v>
      </x:c>
      <x:c r="N64" t="str">
        <x:v>Témoin sans panne rouge associée dans le jeu</x:v>
      </x:c>
    </x:row>
    <x:row r="65" ht="23" customHeight="1">
      <x:c r="A65" t="str">
        <x:v>AV-1064</x:v>
      </x:c>
      <x:c r="B65" t="str">
        <x:v>2025-11-14</x:v>
      </x:c>
      <x:c r="C65" t="str">
        <x:v>E10</x:v>
      </x:c>
      <x:c r="D65" t="str">
        <x:v>CS-102</x:v>
      </x:c>
      <x:c r="E65" t="str">
        <x:v>Transport</x:v>
      </x:c>
      <x:c r="F65" t="str">
        <x:v>JAUNE</x:v>
      </x:c>
      <x:c r="G65" t="str">
        <x:v>Opportunité</x:v>
      </x:c>
      <x:c r="H65" t="str">
        <x:v>Défaut capteur intermittent</x:v>
      </x:c>
      <x:c r="I65" t="str">
        <x:v>Anomalie à vérifier : défaut capteur intermittent</x:v>
      </x:c>
      <x:c r="J65" t="str">
        <x:v>Clôturé</x:v>
      </x:c>
      <x:c r="K65" t="n">
        <x:v>0</x:v>
      </x:c>
      <x:c r="L65" t="n">
        <x:v>71</x:v>
      </x:c>
      <x:c r="M65" t="str">
        <x:v>Maintenance</x:v>
      </x:c>
      <x:c r="N65" t="str">
        <x:v>Témoin sans panne rouge associée dans le jeu</x:v>
      </x:c>
    </x:row>
    <x:row r="66" ht="23" customHeight="1">
      <x:c r="A66" t="str">
        <x:v>AV-1065</x:v>
      </x:c>
      <x:c r="B66" t="str">
        <x:v>2025-11-17</x:v>
      </x:c>
      <x:c r="C66" t="str">
        <x:v>E05</x:v>
      </x:c>
      <x:c r="D66" t="str">
        <x:v>VR-509</x:v>
      </x:c>
      <x:c r="E66" t="str">
        <x:v>Fluides</x:v>
      </x:c>
      <x:c r="F66" t="str">
        <x:v>JAUNE</x:v>
      </x:c>
      <x:c r="G66" t="str">
        <x:v>À replanifier</x:v>
      </x:c>
      <x:c r="H66" t="str">
        <x:v>Fuite d’huile progressive</x:v>
      </x:c>
      <x:c r="I66" t="str">
        <x:v>Anomalie à vérifier : fuite d’huile progressive</x:v>
      </x:c>
      <x:c r="J66" t="str">
        <x:v>Ouvert</x:v>
      </x:c>
      <x:c r="K66" t="n">
        <x:v>5</x:v>
      </x:c>
      <x:c r="L66" t="n">
        <x:v>112</x:v>
      </x:c>
      <x:c r="M66" t="str">
        <x:v>Maintenance</x:v>
      </x:c>
      <x:c r="N66" t="str">
        <x:v>Témoin sans panne rouge associée dans le jeu</x:v>
      </x:c>
    </x:row>
    <x:row r="67" ht="23" customHeight="1">
      <x:c r="A67" t="str">
        <x:v>AV-1066</x:v>
      </x:c>
      <x:c r="B67" t="str">
        <x:v>2025-11-25</x:v>
      </x:c>
      <x:c r="C67" t="str">
        <x:v>E12</x:v>
      </x:c>
      <x:c r="D67" t="str">
        <x:v>AA-330</x:v>
      </x:c>
      <x:c r="E67" t="str">
        <x:v>Automatisme</x:v>
      </x:c>
      <x:c r="F67" t="str">
        <x:v>JAUNE</x:v>
      </x:c>
      <x:c r="G67" t="str">
        <x:v>Différé</x:v>
      </x:c>
      <x:c r="H67" t="str">
        <x:v>Température élevée</x:v>
      </x:c>
      <x:c r="I67" t="str">
        <x:v>Anomalie à vérifier : température élevée</x:v>
      </x:c>
      <x:c r="J67" t="str">
        <x:v>Ouvert</x:v>
      </x:c>
      <x:c r="K67" t="n">
        <x:v>2</x:v>
      </x:c>
      <x:c r="L67" t="n">
        <x:v>49</x:v>
      </x:c>
      <x:c r="M67" t="str">
        <x:v>Maintenance</x:v>
      </x:c>
      <x:c r="N67" t="str">
        <x:v>Témoin sans panne rouge associée dans le jeu</x:v>
      </x:c>
    </x:row>
    <x:row r="68" ht="23" customHeight="1">
      <x:c r="A68" t="str">
        <x:v>AV-1067</x:v>
      </x:c>
      <x:c r="B68" t="str">
        <x:v>2025-12-01</x:v>
      </x:c>
      <x:c r="C68" t="str">
        <x:v>E07</x:v>
      </x:c>
      <x:c r="D68" t="str">
        <x:v>GL-710</x:v>
      </x:c>
      <x:c r="E68" t="str">
        <x:v>Lubrification</x:v>
      </x:c>
      <x:c r="F68" t="str">
        <x:v>JAUNE</x:v>
      </x:c>
      <x:c r="G68" t="str">
        <x:v>Différé</x:v>
      </x:c>
      <x:c r="H68" t="str">
        <x:v>Débit irrégulier</x:v>
      </x:c>
      <x:c r="I68" t="str">
        <x:v>Anomalie à vérifier : débit irrégulier</x:v>
      </x:c>
      <x:c r="J68" t="str">
        <x:v>Clôturé</x:v>
      </x:c>
      <x:c r="K68" t="n">
        <x:v>3</x:v>
      </x:c>
      <x:c r="L68" t="n">
        <x:v>113</x:v>
      </x:c>
      <x:c r="M68" t="str">
        <x:v>Maintenance</x:v>
      </x:c>
      <x:c r="N68" t="str">
        <x:v>Témoin sans panne rouge associée dans le jeu</x:v>
      </x:c>
    </x:row>
    <x:row r="69" ht="23" customHeight="1">
      <x:c r="A69" t="str">
        <x:v>AV-1068</x:v>
      </x:c>
      <x:c r="B69" t="str">
        <x:v>2025-12-04</x:v>
      </x:c>
      <x:c r="C69" t="str">
        <x:v>E02</x:v>
      </x:c>
      <x:c r="D69" t="str">
        <x:v>PH-204</x:v>
      </x:c>
      <x:c r="E69" t="str">
        <x:v>Hydraulique</x:v>
      </x:c>
      <x:c r="F69" t="str">
        <x:v>JAUNE</x:v>
      </x:c>
      <x:c r="G69" t="str">
        <x:v>Différé</x:v>
      </x:c>
      <x:c r="H69" t="str">
        <x:v>Vibration inhabituelle</x:v>
      </x:c>
      <x:c r="I69" t="str">
        <x:v>Anomalie à vérifier : vibration inhabituelle</x:v>
      </x:c>
      <x:c r="J69" t="str">
        <x:v>Ouvert</x:v>
      </x:c>
      <x:c r="K69" t="n">
        <x:v>2</x:v>
      </x:c>
      <x:c r="L69" t="n">
        <x:v>35</x:v>
      </x:c>
      <x:c r="M69" t="str">
        <x:v>Maintenance</x:v>
      </x:c>
      <x:c r="N69" t="str">
        <x:v>Témoin sans panne rouge associée dans le jeu</x:v>
      </x:c>
    </x:row>
    <x:row r="70" ht="23" customHeight="1">
      <x:c r="A70" t="str">
        <x:v>AV-1069</x:v>
      </x:c>
      <x:c r="B70" t="str">
        <x:v>2025-12-08</x:v>
      </x:c>
      <x:c r="C70" t="str">
        <x:v>E09</x:v>
      </x:c>
      <x:c r="D70" t="str">
        <x:v>VS-901</x:v>
      </x:c>
      <x:c r="E70" t="str">
        <x:v>Hydraulique</x:v>
      </x:c>
      <x:c r="F70" t="str">
        <x:v>JAUNE</x:v>
      </x:c>
      <x:c r="G70" t="str">
        <x:v>À replanifier</x:v>
      </x:c>
      <x:c r="H70" t="str">
        <x:v>Pression instable</x:v>
      </x:c>
      <x:c r="I70" t="str">
        <x:v>Anomalie à vérifier : pression instable</x:v>
      </x:c>
      <x:c r="J70" t="str">
        <x:v>Ouvert</x:v>
      </x:c>
      <x:c r="K70" t="n">
        <x:v>2</x:v>
      </x:c>
      <x:c r="L70" t="n">
        <x:v>62</x:v>
      </x:c>
      <x:c r="M70" t="str">
        <x:v>Maintenance</x:v>
      </x:c>
      <x:c r="N70" t="str">
        <x:v>Témoin sans panne rouge associée dans le jeu</x:v>
      </x:c>
    </x:row>
    <x:row r="71" ht="23" customHeight="1">
      <x:c r="A71" t="str">
        <x:v>AV-1070</x:v>
      </x:c>
      <x:c r="B71" t="str">
        <x:v>2025-12-15</x:v>
      </x:c>
      <x:c r="C71" t="str">
        <x:v>E04</x:v>
      </x:c>
      <x:c r="D71" t="str">
        <x:v>MT-411</x:v>
      </x:c>
      <x:c r="E71" t="str">
        <x:v>Motorisation</x:v>
      </x:c>
      <x:c r="F71" t="str">
        <x:v>JAUNE</x:v>
      </x:c>
      <x:c r="G71" t="str">
        <x:v>Opportunité</x:v>
      </x:c>
      <x:c r="H71" t="str">
        <x:v>Jeu mécanique observé</x:v>
      </x:c>
      <x:c r="I71" t="str">
        <x:v>Anomalie à vérifier : jeu mécanique observé</x:v>
      </x:c>
      <x:c r="J71" t="str">
        <x:v>Clôturé</x:v>
      </x:c>
      <x:c r="K71" t="n">
        <x:v>2</x:v>
      </x:c>
      <x:c r="L71" t="n">
        <x:v>102</x:v>
      </x:c>
      <x:c r="M71" t="str">
        <x:v>Maintenance</x:v>
      </x:c>
      <x:c r="N71" t="str">
        <x:v>Témoin sans panne rouge associée dans le jeu</x:v>
      </x:c>
    </x:row>
    <x:row r="72" ht="23" customHeight="1">
      <x:c r="A72" t="str">
        <x:v>AV-1071</x:v>
      </x:c>
      <x:c r="B72" t="str">
        <x:v>2025-12-17</x:v>
      </x:c>
      <x:c r="C72" t="str">
        <x:v>E11</x:v>
      </x:c>
      <x:c r="D72" t="str">
        <x:v>CA-220</x:v>
      </x:c>
      <x:c r="E72" t="str">
        <x:v>Air comprimé</x:v>
      </x:c>
      <x:c r="F72" t="str">
        <x:v>JAUNE</x:v>
      </x:c>
      <x:c r="G72" t="str">
        <x:v>À replanifier</x:v>
      </x:c>
      <x:c r="H72" t="str">
        <x:v>Bruit intermittent</x:v>
      </x:c>
      <x:c r="I72" t="str">
        <x:v>Anomalie à vérifier : bruit intermittent</x:v>
      </x:c>
      <x:c r="J72" t="str">
        <x:v>Ouvert</x:v>
      </x:c>
      <x:c r="K72" t="n">
        <x:v>3</x:v>
      </x:c>
      <x:c r="L72" t="n">
        <x:v>22</x:v>
      </x:c>
      <x:c r="M72" t="str">
        <x:v>Maintenance</x:v>
      </x:c>
      <x:c r="N72" t="str">
        <x:v>Témoin sans panne rouge associée dans le jeu</x:v>
      </x:c>
    </x:row>
    <x:row r="73" ht="23" customHeight="1">
      <x:c r="A73" t="str">
        <x:v>AV-1072</x:v>
      </x:c>
      <x:c r="B73" t="str">
        <x:v>2025-12-22</x:v>
      </x:c>
      <x:c r="C73" t="str">
        <x:v>E06</x:v>
      </x:c>
      <x:c r="D73" t="str">
        <x:v>CP-615</x:v>
      </x:c>
      <x:c r="E73" t="str">
        <x:v>Instrumentation</x:v>
      </x:c>
      <x:c r="F73" t="str">
        <x:v>JAUNE</x:v>
      </x:c>
      <x:c r="G73" t="str">
        <x:v>Opportunité</x:v>
      </x:c>
      <x:c r="H73" t="str">
        <x:v>Défaut capteur intermittent</x:v>
      </x:c>
      <x:c r="I73" t="str">
        <x:v>Anomalie à vérifier : défaut capteur intermittent</x:v>
      </x:c>
      <x:c r="J73" t="str">
        <x:v>Ouvert</x:v>
      </x:c>
      <x:c r="K73" t="n">
        <x:v>3</x:v>
      </x:c>
      <x:c r="L73" t="n">
        <x:v>6</x:v>
      </x:c>
      <x:c r="M73" t="str">
        <x:v>Maintenance</x:v>
      </x:c>
      <x:c r="N73" t="str">
        <x:v>Témoin sans panne rouge associée dans le jeu</x:v>
      </x:c>
    </x:row>
    <x:row r="74" ht="23" customHeight="1">
      <x:c r="A74" t="str">
        <x:v>AV-1073</x:v>
      </x:c>
      <x:c r="B74" t="str">
        <x:v>2025-12-31</x:v>
      </x:c>
      <x:c r="C74" t="str">
        <x:v>E01</x:v>
      </x:c>
      <x:c r="D74" t="str">
        <x:v>CV-101</x:v>
      </x:c>
      <x:c r="E74" t="str">
        <x:v>Transmission</x:v>
      </x:c>
      <x:c r="F74" t="str">
        <x:v>JAUNE</x:v>
      </x:c>
      <x:c r="G74" t="str">
        <x:v>À replanifier</x:v>
      </x:c>
      <x:c r="H74" t="str">
        <x:v>Fuite d’huile progressive</x:v>
      </x:c>
      <x:c r="I74" t="str">
        <x:v>Anomalie à vérifier : fuite d’huile progressive</x:v>
      </x:c>
      <x:c r="J74" t="str">
        <x:v>Clôturé</x:v>
      </x:c>
      <x:c r="K74" t="n">
        <x:v>2</x:v>
      </x:c>
      <x:c r="L74" t="n">
        <x:v>59</x:v>
      </x:c>
      <x:c r="M74" t="str">
        <x:v>Maintenance</x:v>
      </x:c>
      <x:c r="N74" t="str">
        <x:v>Témoin sans panne rouge associée dans le jeu</x:v>
      </x:c>
    </x:row>
    <x:row r="75" ht="23" customHeight="1">
      <x:c r="A75" t="str">
        <x:v>AV-1074</x:v>
      </x:c>
      <x:c r="B75" t="str">
        <x:v>2026-01-03</x:v>
      </x:c>
      <x:c r="C75" t="str">
        <x:v>E08</x:v>
      </x:c>
      <x:c r="D75" t="str">
        <x:v>PE-802</x:v>
      </x:c>
      <x:c r="E75" t="str">
        <x:v>Fluides</x:v>
      </x:c>
      <x:c r="F75" t="str">
        <x:v>JAUNE</x:v>
      </x:c>
      <x:c r="G75" t="str">
        <x:v>Opportunité</x:v>
      </x:c>
      <x:c r="H75" t="str">
        <x:v>Température élevée</x:v>
      </x:c>
      <x:c r="I75" t="str">
        <x:v>Anomalie à vérifier : température élevée</x:v>
      </x:c>
      <x:c r="J75" t="str">
        <x:v>Ouvert</x:v>
      </x:c>
      <x:c r="K75" t="n">
        <x:v>0</x:v>
      </x:c>
      <x:c r="L75" t="n">
        <x:v>16</x:v>
      </x:c>
      <x:c r="M75" t="str">
        <x:v>Maintenance</x:v>
      </x:c>
      <x:c r="N75" t="str">
        <x:v>Témoin sans panne rouge associée dans le jeu</x:v>
      </x:c>
    </x:row>
    <x:row r="76" ht="23" customHeight="1">
      <x:c r="A76" t="str">
        <x:v>AV-1075</x:v>
      </x:c>
      <x:c r="B76" t="str">
        <x:v>2026-01-07</x:v>
      </x:c>
      <x:c r="C76" t="str">
        <x:v>E03</x:v>
      </x:c>
      <x:c r="D76" t="str">
        <x:v>VF-302</x:v>
      </x:c>
      <x:c r="E76" t="str">
        <x:v>Ventilation</x:v>
      </x:c>
      <x:c r="F76" t="str">
        <x:v>JAUNE</x:v>
      </x:c>
      <x:c r="G76" t="str">
        <x:v>Opportunité</x:v>
      </x:c>
      <x:c r="H76" t="str">
        <x:v>Débit irrégulier</x:v>
      </x:c>
      <x:c r="I76" t="str">
        <x:v>Anomalie à vérifier : débit irrégulier</x:v>
      </x:c>
      <x:c r="J76" t="str">
        <x:v>Ouvert</x:v>
      </x:c>
      <x:c r="K76" t="n">
        <x:v>3</x:v>
      </x:c>
      <x:c r="L76" t="n">
        <x:v>57</x:v>
      </x:c>
      <x:c r="M76" t="str">
        <x:v>Maintenance</x:v>
      </x:c>
      <x:c r="N76" t="str">
        <x:v>Témoin sans panne rouge associée dans le jeu</x:v>
      </x:c>
    </x:row>
    <x:row r="77" ht="23" customHeight="1">
      <x:c r="A77" t="str">
        <x:v>AV-1076</x:v>
      </x:c>
      <x:c r="B77" t="str">
        <x:v>2026-01-14</x:v>
      </x:c>
      <x:c r="C77" t="str">
        <x:v>E10</x:v>
      </x:c>
      <x:c r="D77" t="str">
        <x:v>CS-102</x:v>
      </x:c>
      <x:c r="E77" t="str">
        <x:v>Transport</x:v>
      </x:c>
      <x:c r="F77" t="str">
        <x:v>JAUNE</x:v>
      </x:c>
      <x:c r="G77" t="str">
        <x:v>À replanifier</x:v>
      </x:c>
      <x:c r="H77" t="str">
        <x:v>Vibration inhabituelle</x:v>
      </x:c>
      <x:c r="I77" t="str">
        <x:v>Anomalie à vérifier : vibration inhabituelle</x:v>
      </x:c>
      <x:c r="J77" t="str">
        <x:v>Clôturé</x:v>
      </x:c>
      <x:c r="K77" t="n">
        <x:v>4</x:v>
      </x:c>
      <x:c r="L77" t="n">
        <x:v>33</x:v>
      </x:c>
      <x:c r="M77" t="str">
        <x:v>Maintenance</x:v>
      </x:c>
      <x:c r="N77" t="str">
        <x:v>Témoin sans panne rouge associée dans le jeu</x:v>
      </x:c>
    </x:row>
    <x:row r="78" ht="23" customHeight="1">
      <x:c r="A78" t="str">
        <x:v>AV-1077</x:v>
      </x:c>
      <x:c r="B78" t="str">
        <x:v>2026-01-20</x:v>
      </x:c>
      <x:c r="C78" t="str">
        <x:v>E05</x:v>
      </x:c>
      <x:c r="D78" t="str">
        <x:v>VR-509</x:v>
      </x:c>
      <x:c r="E78" t="str">
        <x:v>Fluides</x:v>
      </x:c>
      <x:c r="F78" t="str">
        <x:v>JAUNE</x:v>
      </x:c>
      <x:c r="G78" t="str">
        <x:v>Opportunité</x:v>
      </x:c>
      <x:c r="H78" t="str">
        <x:v>Pression instable</x:v>
      </x:c>
      <x:c r="I78" t="str">
        <x:v>Anomalie à vérifier : pression instable</x:v>
      </x:c>
      <x:c r="J78" t="str">
        <x:v>Ouvert</x:v>
      </x:c>
      <x:c r="K78" t="n">
        <x:v>4</x:v>
      </x:c>
      <x:c r="L78" t="n">
        <x:v>36</x:v>
      </x:c>
      <x:c r="M78" t="str">
        <x:v>Maintenance</x:v>
      </x:c>
      <x:c r="N78" t="str">
        <x:v>Témoin sans panne rouge associée dans le jeu</x:v>
      </x:c>
    </x:row>
    <x:row r="79" ht="23" customHeight="1">
      <x:c r="A79" t="str">
        <x:v>AV-1078</x:v>
      </x:c>
      <x:c r="B79" t="str">
        <x:v>2026-01-21</x:v>
      </x:c>
      <x:c r="C79" t="str">
        <x:v>E12</x:v>
      </x:c>
      <x:c r="D79" t="str">
        <x:v>AA-330</x:v>
      </x:c>
      <x:c r="E79" t="str">
        <x:v>Automatisme</x:v>
      </x:c>
      <x:c r="F79" t="str">
        <x:v>JAUNE</x:v>
      </x:c>
      <x:c r="G79" t="str">
        <x:v>À replanifier</x:v>
      </x:c>
      <x:c r="H79" t="str">
        <x:v>Jeu mécanique observé</x:v>
      </x:c>
      <x:c r="I79" t="str">
        <x:v>Anomalie à vérifier : jeu mécanique observé</x:v>
      </x:c>
      <x:c r="J79" t="str">
        <x:v>Ouvert</x:v>
      </x:c>
      <x:c r="K79" t="n">
        <x:v>3</x:v>
      </x:c>
      <x:c r="L79" t="n">
        <x:v>80</x:v>
      </x:c>
      <x:c r="M79" t="str">
        <x:v>Maintenance</x:v>
      </x:c>
      <x:c r="N79" t="str">
        <x:v>Témoin sans panne rouge associée dans le jeu</x:v>
      </x:c>
    </x:row>
    <x:row r="80" ht="23" customHeight="1">
      <x:c r="A80" t="str">
        <x:v>AV-1079</x:v>
      </x:c>
      <x:c r="B80" t="str">
        <x:v>2026-01-30</x:v>
      </x:c>
      <x:c r="C80" t="str">
        <x:v>E07</x:v>
      </x:c>
      <x:c r="D80" t="str">
        <x:v>GL-710</x:v>
      </x:c>
      <x:c r="E80" t="str">
        <x:v>Lubrification</x:v>
      </x:c>
      <x:c r="F80" t="str">
        <x:v>JAUNE</x:v>
      </x:c>
      <x:c r="G80" t="str">
        <x:v>À replanifier</x:v>
      </x:c>
      <x:c r="H80" t="str">
        <x:v>Bruit intermittent</x:v>
      </x:c>
      <x:c r="I80" t="str">
        <x:v>Anomalie à vérifier : bruit intermittent</x:v>
      </x:c>
      <x:c r="J80" t="str">
        <x:v>Clôturé</x:v>
      </x:c>
      <x:c r="K80" t="n">
        <x:v>4</x:v>
      </x:c>
      <x:c r="L80" t="n">
        <x:v>78</x:v>
      </x:c>
      <x:c r="M80" t="str">
        <x:v>Maintenance</x:v>
      </x:c>
      <x:c r="N80" t="str">
        <x:v>Témoin sans panne rouge associée dans le jeu</x:v>
      </x:c>
    </x:row>
    <x:row r="81" ht="23" customHeight="1">
      <x:c r="A81" t="str">
        <x:v>AV-1080</x:v>
      </x:c>
      <x:c r="B81" t="str">
        <x:v>2026-02-04</x:v>
      </x:c>
      <x:c r="C81" t="str">
        <x:v>E02</x:v>
      </x:c>
      <x:c r="D81" t="str">
        <x:v>PH-204</x:v>
      </x:c>
      <x:c r="E81" t="str">
        <x:v>Hydraulique</x:v>
      </x:c>
      <x:c r="F81" t="str">
        <x:v>JAUNE</x:v>
      </x:c>
      <x:c r="G81" t="str">
        <x:v>À replanifier</x:v>
      </x:c>
      <x:c r="H81" t="str">
        <x:v>Défaut capteur intermittent</x:v>
      </x:c>
      <x:c r="I81" t="str">
        <x:v>Anomalie à vérifier : défaut capteur intermittent</x:v>
      </x:c>
      <x:c r="J81" t="str">
        <x:v>Ouvert</x:v>
      </x:c>
      <x:c r="K81" t="n">
        <x:v>4</x:v>
      </x:c>
      <x:c r="L81" t="n">
        <x:v>62</x:v>
      </x:c>
      <x:c r="M81" t="str">
        <x:v>Maintenance</x:v>
      </x:c>
      <x:c r="N81" t="str">
        <x:v>Témoin sans panne rouge associée dans le jeu</x:v>
      </x:c>
    </x:row>
    <x:row r="82" ht="23" customHeight="1">
      <x:c r="A82" t="str">
        <x:v>AV-1081</x:v>
      </x:c>
      <x:c r="B82" t="str">
        <x:v>2026-02-06</x:v>
      </x:c>
      <x:c r="C82" t="str">
        <x:v>E09</x:v>
      </x:c>
      <x:c r="D82" t="str">
        <x:v>VS-901</x:v>
      </x:c>
      <x:c r="E82" t="str">
        <x:v>Hydraulique</x:v>
      </x:c>
      <x:c r="F82" t="str">
        <x:v>JAUNE</x:v>
      </x:c>
      <x:c r="G82" t="str">
        <x:v>À replanifier</x:v>
      </x:c>
      <x:c r="H82" t="str">
        <x:v>Fuite d’huile progressive</x:v>
      </x:c>
      <x:c r="I82" t="str">
        <x:v>Anomalie à vérifier : fuite d’huile progressive</x:v>
      </x:c>
      <x:c r="J82" t="str">
        <x:v>Ouvert</x:v>
      </x:c>
      <x:c r="K82" t="n">
        <x:v>3</x:v>
      </x:c>
      <x:c r="L82" t="n">
        <x:v>90</x:v>
      </x:c>
      <x:c r="M82" t="str">
        <x:v>Maintenance</x:v>
      </x:c>
      <x:c r="N82" t="str">
        <x:v>Témoin sans panne rouge associée dans le jeu</x:v>
      </x:c>
    </x:row>
    <x:row r="83" ht="23" customHeight="1">
      <x:c r="A83" t="str">
        <x:v>AV-1082</x:v>
      </x:c>
      <x:c r="B83" t="str">
        <x:v>2026-02-10</x:v>
      </x:c>
      <x:c r="C83" t="str">
        <x:v>E04</x:v>
      </x:c>
      <x:c r="D83" t="str">
        <x:v>MT-411</x:v>
      </x:c>
      <x:c r="E83" t="str">
        <x:v>Motorisation</x:v>
      </x:c>
      <x:c r="F83" t="str">
        <x:v>JAUNE</x:v>
      </x:c>
      <x:c r="G83" t="str">
        <x:v>À replanifier</x:v>
      </x:c>
      <x:c r="H83" t="str">
        <x:v>Température élevée</x:v>
      </x:c>
      <x:c r="I83" t="str">
        <x:v>Anomalie à vérifier : température élevée</x:v>
      </x:c>
      <x:c r="J83" t="str">
        <x:v>Clôturé</x:v>
      </x:c>
      <x:c r="K83" t="n">
        <x:v>1</x:v>
      </x:c>
      <x:c r="L83" t="n">
        <x:v>26</x:v>
      </x:c>
      <x:c r="M83" t="str">
        <x:v>Maintenance</x:v>
      </x:c>
      <x:c r="N83" t="str">
        <x:v>Témoin sans panne rouge associée dans le jeu</x:v>
      </x:c>
    </x:row>
    <x:row r="84" ht="23" customHeight="1">
      <x:c r="A84" t="str">
        <x:v>AV-1083</x:v>
      </x:c>
      <x:c r="B84" t="str">
        <x:v>2026-02-19</x:v>
      </x:c>
      <x:c r="C84" t="str">
        <x:v>E11</x:v>
      </x:c>
      <x:c r="D84" t="str">
        <x:v>CA-220</x:v>
      </x:c>
      <x:c r="E84" t="str">
        <x:v>Air comprimé</x:v>
      </x:c>
      <x:c r="F84" t="str">
        <x:v>JAUNE</x:v>
      </x:c>
      <x:c r="G84" t="str">
        <x:v>Opportunité</x:v>
      </x:c>
      <x:c r="H84" t="str">
        <x:v>Débit irrégulier</x:v>
      </x:c>
      <x:c r="I84" t="str">
        <x:v>Anomalie à vérifier : débit irrégulier</x:v>
      </x:c>
      <x:c r="J84" t="str">
        <x:v>Ouvert</x:v>
      </x:c>
      <x:c r="K84" t="n">
        <x:v>3</x:v>
      </x:c>
      <x:c r="L84" t="n">
        <x:v>12</x:v>
      </x:c>
      <x:c r="M84" t="str">
        <x:v>Maintenance</x:v>
      </x:c>
      <x:c r="N84" t="str">
        <x:v>Témoin sans panne rouge associée dans le jeu</x:v>
      </x:c>
    </x:row>
    <x:row r="85" ht="23" customHeight="1">
      <x:c r="A85" t="str">
        <x:v>AV-1084</x:v>
      </x:c>
      <x:c r="B85" t="str">
        <x:v>2026-02-20</x:v>
      </x:c>
      <x:c r="C85" t="str">
        <x:v>E06</x:v>
      </x:c>
      <x:c r="D85" t="str">
        <x:v>CP-615</x:v>
      </x:c>
      <x:c r="E85" t="str">
        <x:v>Instrumentation</x:v>
      </x:c>
      <x:c r="F85" t="str">
        <x:v>JAUNE</x:v>
      </x:c>
      <x:c r="G85" t="str">
        <x:v>Opportunité</x:v>
      </x:c>
      <x:c r="H85" t="str">
        <x:v>Vibration inhabituelle</x:v>
      </x:c>
      <x:c r="I85" t="str">
        <x:v>Anomalie à vérifier : vibration inhabituelle</x:v>
      </x:c>
      <x:c r="J85" t="str">
        <x:v>Ouvert</x:v>
      </x:c>
      <x:c r="K85" t="n">
        <x:v>1</x:v>
      </x:c>
      <x:c r="L85" t="n">
        <x:v>31</x:v>
      </x:c>
      <x:c r="M85" t="str">
        <x:v>Maintenance</x:v>
      </x:c>
      <x:c r="N85" t="str">
        <x:v>Témoin sans panne rouge associée dans le jeu</x:v>
      </x:c>
    </x:row>
    <x:row r="86" ht="23" customHeight="1">
      <x:c r="A86" t="str">
        <x:v>AV-1085</x:v>
      </x:c>
      <x:c r="B86" t="str">
        <x:v>2025-01-03</x:v>
      </x:c>
      <x:c r="C86" t="str">
        <x:v>E01</x:v>
      </x:c>
      <x:c r="D86" t="str">
        <x:v>CV-101</x:v>
      </x:c>
      <x:c r="E86" t="str">
        <x:v>Transmission</x:v>
      </x:c>
      <x:c r="F86" t="str">
        <x:v>VERT</x:v>
      </x:c>
      <x:c r="G86" t="str">
        <x:v>Préventif</x:v>
      </x:c>
      <x:c r="H86" t="str">
        <x:v>Contrôle programmé</x:v>
      </x:c>
      <x:c r="I86" t="str">
        <x:v>Inspection et contrôle selon gamme</x:v>
      </x:c>
      <x:c r="J86" t="str">
        <x:v>Clôturé</x:v>
      </x:c>
      <x:c r="K86" t="n">
        <x:v>0</x:v>
      </x:c>
      <x:c r="L86" t="n">
        <x:v>0</x:v>
      </x:c>
      <x:c r="M86" t="str">
        <x:v>Maintenance</x:v>
      </x:c>
      <x:c r="N86" t="str">
        <x:v>Préventif synthétique</x:v>
      </x:c>
    </x:row>
    <x:row r="87" ht="23" customHeight="1">
      <x:c r="A87" t="str">
        <x:v>AV-1086</x:v>
      </x:c>
      <x:c r="B87" t="str">
        <x:v>2025-01-13</x:v>
      </x:c>
      <x:c r="C87" t="str">
        <x:v>E06</x:v>
      </x:c>
      <x:c r="D87" t="str">
        <x:v>CP-615</x:v>
      </x:c>
      <x:c r="E87" t="str">
        <x:v>Instrumentation</x:v>
      </x:c>
      <x:c r="F87" t="str">
        <x:v>VERT</x:v>
      </x:c>
      <x:c r="G87" t="str">
        <x:v>Préventif</x:v>
      </x:c>
      <x:c r="H87" t="str">
        <x:v>Contrôle programmé</x:v>
      </x:c>
      <x:c r="I87" t="str">
        <x:v>Inspection et contrôle selon gamme</x:v>
      </x:c>
      <x:c r="J87" t="str">
        <x:v>Clôturé</x:v>
      </x:c>
      <x:c r="K87" t="n">
        <x:v>0</x:v>
      </x:c>
      <x:c r="L87" t="n">
        <x:v>0</x:v>
      </x:c>
      <x:c r="M87" t="str">
        <x:v>Maintenance</x:v>
      </x:c>
      <x:c r="N87" t="str">
        <x:v>Préventif synthétique</x:v>
      </x:c>
    </x:row>
    <x:row r="88" ht="23" customHeight="1">
      <x:c r="A88" t="str">
        <x:v>AV-1087</x:v>
      </x:c>
      <x:c r="B88" t="str">
        <x:v>2025-01-23</x:v>
      </x:c>
      <x:c r="C88" t="str">
        <x:v>E11</x:v>
      </x:c>
      <x:c r="D88" t="str">
        <x:v>CA-220</x:v>
      </x:c>
      <x:c r="E88" t="str">
        <x:v>Air comprimé</x:v>
      </x:c>
      <x:c r="F88" t="str">
        <x:v>VERT</x:v>
      </x:c>
      <x:c r="G88" t="str">
        <x:v>Préventif</x:v>
      </x:c>
      <x:c r="H88" t="str">
        <x:v>Contrôle programmé</x:v>
      </x:c>
      <x:c r="I88" t="str">
        <x:v>Inspection et contrôle selon gamme</x:v>
      </x:c>
      <x:c r="J88" t="str">
        <x:v>Clôturé</x:v>
      </x:c>
      <x:c r="K88" t="n">
        <x:v>0</x:v>
      </x:c>
      <x:c r="L88" t="n">
        <x:v>0</x:v>
      </x:c>
      <x:c r="M88" t="str">
        <x:v>Maintenance</x:v>
      </x:c>
      <x:c r="N88" t="str">
        <x:v>Préventif synthétique</x:v>
      </x:c>
    </x:row>
    <x:row r="89" ht="23" customHeight="1">
      <x:c r="A89" t="str">
        <x:v>AV-1088</x:v>
      </x:c>
      <x:c r="B89" t="str">
        <x:v>2025-02-02</x:v>
      </x:c>
      <x:c r="C89" t="str">
        <x:v>E04</x:v>
      </x:c>
      <x:c r="D89" t="str">
        <x:v>MT-411</x:v>
      </x:c>
      <x:c r="E89" t="str">
        <x:v>Motorisation</x:v>
      </x:c>
      <x:c r="F89" t="str">
        <x:v>VERT</x:v>
      </x:c>
      <x:c r="G89" t="str">
        <x:v>Préventif</x:v>
      </x:c>
      <x:c r="H89" t="str">
        <x:v>Contrôle programmé</x:v>
      </x:c>
      <x:c r="I89" t="str">
        <x:v>Inspection et contrôle selon gamme</x:v>
      </x:c>
      <x:c r="J89" t="str">
        <x:v>Clôturé</x:v>
      </x:c>
      <x:c r="K89" t="n">
        <x:v>0</x:v>
      </x:c>
      <x:c r="L89" t="n">
        <x:v>0</x:v>
      </x:c>
      <x:c r="M89" t="str">
        <x:v>Maintenance</x:v>
      </x:c>
      <x:c r="N89" t="str">
        <x:v>Préventif synthétique</x:v>
      </x:c>
    </x:row>
    <x:row r="90" ht="23" customHeight="1">
      <x:c r="A90" t="str">
        <x:v>AV-1089</x:v>
      </x:c>
      <x:c r="B90" t="str">
        <x:v>2025-02-12</x:v>
      </x:c>
      <x:c r="C90" t="str">
        <x:v>E09</x:v>
      </x:c>
      <x:c r="D90" t="str">
        <x:v>VS-901</x:v>
      </x:c>
      <x:c r="E90" t="str">
        <x:v>Hydraulique</x:v>
      </x:c>
      <x:c r="F90" t="str">
        <x:v>VERT</x:v>
      </x:c>
      <x:c r="G90" t="str">
        <x:v>Préventif</x:v>
      </x:c>
      <x:c r="H90" t="str">
        <x:v>Contrôle programmé</x:v>
      </x:c>
      <x:c r="I90" t="str">
        <x:v>Inspection et contrôle selon gamme</x:v>
      </x:c>
      <x:c r="J90" t="str">
        <x:v>Clôturé</x:v>
      </x:c>
      <x:c r="K90" t="n">
        <x:v>0</x:v>
      </x:c>
      <x:c r="L90" t="n">
        <x:v>0</x:v>
      </x:c>
      <x:c r="M90" t="str">
        <x:v>Maintenance</x:v>
      </x:c>
      <x:c r="N90" t="str">
        <x:v>Préventif synthétique</x:v>
      </x:c>
    </x:row>
    <x:row r="91" ht="23" customHeight="1">
      <x:c r="A91" t="str">
        <x:v>AV-1090</x:v>
      </x:c>
      <x:c r="B91" t="str">
        <x:v>2025-02-22</x:v>
      </x:c>
      <x:c r="C91" t="str">
        <x:v>E02</x:v>
      </x:c>
      <x:c r="D91" t="str">
        <x:v>PH-204</x:v>
      </x:c>
      <x:c r="E91" t="str">
        <x:v>Hydraulique</x:v>
      </x:c>
      <x:c r="F91" t="str">
        <x:v>VERT</x:v>
      </x:c>
      <x:c r="G91" t="str">
        <x:v>Préventif</x:v>
      </x:c>
      <x:c r="H91" t="str">
        <x:v>Contrôle programmé</x:v>
      </x:c>
      <x:c r="I91" t="str">
        <x:v>Inspection et contrôle selon gamme</x:v>
      </x:c>
      <x:c r="J91" t="str">
        <x:v>Clôturé</x:v>
      </x:c>
      <x:c r="K91" t="n">
        <x:v>0</x:v>
      </x:c>
      <x:c r="L91" t="n">
        <x:v>0</x:v>
      </x:c>
      <x:c r="M91" t="str">
        <x:v>Maintenance</x:v>
      </x:c>
      <x:c r="N91" t="str">
        <x:v>Préventif synthétique</x:v>
      </x:c>
    </x:row>
    <x:row r="92" ht="23" customHeight="1">
      <x:c r="A92" t="str">
        <x:v>AV-1091</x:v>
      </x:c>
      <x:c r="B92" t="str">
        <x:v>2025-03-04</x:v>
      </x:c>
      <x:c r="C92" t="str">
        <x:v>E07</x:v>
      </x:c>
      <x:c r="D92" t="str">
        <x:v>GL-710</x:v>
      </x:c>
      <x:c r="E92" t="str">
        <x:v>Lubrification</x:v>
      </x:c>
      <x:c r="F92" t="str">
        <x:v>VERT</x:v>
      </x:c>
      <x:c r="G92" t="str">
        <x:v>Préventif</x:v>
      </x:c>
      <x:c r="H92" t="str">
        <x:v>Contrôle programmé</x:v>
      </x:c>
      <x:c r="I92" t="str">
        <x:v>Inspection et contrôle selon gamme</x:v>
      </x:c>
      <x:c r="J92" t="str">
        <x:v>Clôturé</x:v>
      </x:c>
      <x:c r="K92" t="n">
        <x:v>0</x:v>
      </x:c>
      <x:c r="L92" t="n">
        <x:v>0</x:v>
      </x:c>
      <x:c r="M92" t="str">
        <x:v>Maintenance</x:v>
      </x:c>
      <x:c r="N92" t="str">
        <x:v>Préventif synthétique</x:v>
      </x:c>
    </x:row>
    <x:row r="93" ht="23" customHeight="1">
      <x:c r="A93" t="str">
        <x:v>AV-1092</x:v>
      </x:c>
      <x:c r="B93" t="str">
        <x:v>2025-03-14</x:v>
      </x:c>
      <x:c r="C93" t="str">
        <x:v>E12</x:v>
      </x:c>
      <x:c r="D93" t="str">
        <x:v>AA-330</x:v>
      </x:c>
      <x:c r="E93" t="str">
        <x:v>Automatisme</x:v>
      </x:c>
      <x:c r="F93" t="str">
        <x:v>VERT</x:v>
      </x:c>
      <x:c r="G93" t="str">
        <x:v>Préventif</x:v>
      </x:c>
      <x:c r="H93" t="str">
        <x:v>Contrôle programmé</x:v>
      </x:c>
      <x:c r="I93" t="str">
        <x:v>Inspection et contrôle selon gamme</x:v>
      </x:c>
      <x:c r="J93" t="str">
        <x:v>Clôturé</x:v>
      </x:c>
      <x:c r="K93" t="n">
        <x:v>0</x:v>
      </x:c>
      <x:c r="L93" t="n">
        <x:v>0</x:v>
      </x:c>
      <x:c r="M93" t="str">
        <x:v>Maintenance</x:v>
      </x:c>
      <x:c r="N93" t="str">
        <x:v>Préventif synthétique</x:v>
      </x:c>
    </x:row>
    <x:row r="94" ht="23" customHeight="1">
      <x:c r="A94" t="str">
        <x:v>AV-1093</x:v>
      </x:c>
      <x:c r="B94" t="str">
        <x:v>2025-03-24</x:v>
      </x:c>
      <x:c r="C94" t="str">
        <x:v>E05</x:v>
      </x:c>
      <x:c r="D94" t="str">
        <x:v>VR-509</x:v>
      </x:c>
      <x:c r="E94" t="str">
        <x:v>Fluides</x:v>
      </x:c>
      <x:c r="F94" t="str">
        <x:v>VERT</x:v>
      </x:c>
      <x:c r="G94" t="str">
        <x:v>Préventif</x:v>
      </x:c>
      <x:c r="H94" t="str">
        <x:v>Contrôle programmé</x:v>
      </x:c>
      <x:c r="I94" t="str">
        <x:v>Inspection et contrôle selon gamme</x:v>
      </x:c>
      <x:c r="J94" t="str">
        <x:v>Clôturé</x:v>
      </x:c>
      <x:c r="K94" t="n">
        <x:v>0</x:v>
      </x:c>
      <x:c r="L94" t="n">
        <x:v>0</x:v>
      </x:c>
      <x:c r="M94" t="str">
        <x:v>Maintenance</x:v>
      </x:c>
      <x:c r="N94" t="str">
        <x:v>Préventif synthétique</x:v>
      </x:c>
    </x:row>
    <x:row r="95" ht="23" customHeight="1">
      <x:c r="A95" t="str">
        <x:v>AV-1094</x:v>
      </x:c>
      <x:c r="B95" t="str">
        <x:v>2025-04-03</x:v>
      </x:c>
      <x:c r="C95" t="str">
        <x:v>E10</x:v>
      </x:c>
      <x:c r="D95" t="str">
        <x:v>CS-102</x:v>
      </x:c>
      <x:c r="E95" t="str">
        <x:v>Transport</x:v>
      </x:c>
      <x:c r="F95" t="str">
        <x:v>VERT</x:v>
      </x:c>
      <x:c r="G95" t="str">
        <x:v>Préventif</x:v>
      </x:c>
      <x:c r="H95" t="str">
        <x:v>Contrôle programmé</x:v>
      </x:c>
      <x:c r="I95" t="str">
        <x:v>Inspection et contrôle selon gamme</x:v>
      </x:c>
      <x:c r="J95" t="str">
        <x:v>Clôturé</x:v>
      </x:c>
      <x:c r="K95" t="n">
        <x:v>0</x:v>
      </x:c>
      <x:c r="L95" t="n">
        <x:v>0</x:v>
      </x:c>
      <x:c r="M95" t="str">
        <x:v>Maintenance</x:v>
      </x:c>
      <x:c r="N95" t="str">
        <x:v>Préventif synthétique</x:v>
      </x:c>
    </x:row>
    <x:row r="96" ht="23" customHeight="1">
      <x:c r="A96" t="str">
        <x:v>AV-1095</x:v>
      </x:c>
      <x:c r="B96" t="str">
        <x:v>2025-04-13</x:v>
      </x:c>
      <x:c r="C96" t="str">
        <x:v>E03</x:v>
      </x:c>
      <x:c r="D96" t="str">
        <x:v>VF-302</x:v>
      </x:c>
      <x:c r="E96" t="str">
        <x:v>Ventilation</x:v>
      </x:c>
      <x:c r="F96" t="str">
        <x:v>VERT</x:v>
      </x:c>
      <x:c r="G96" t="str">
        <x:v>Préventif</x:v>
      </x:c>
      <x:c r="H96" t="str">
        <x:v>Contrôle programmé</x:v>
      </x:c>
      <x:c r="I96" t="str">
        <x:v>Inspection et contrôle selon gamme</x:v>
      </x:c>
      <x:c r="J96" t="str">
        <x:v>Clôturé</x:v>
      </x:c>
      <x:c r="K96" t="n">
        <x:v>0</x:v>
      </x:c>
      <x:c r="L96" t="n">
        <x:v>0</x:v>
      </x:c>
      <x:c r="M96" t="str">
        <x:v>Maintenance</x:v>
      </x:c>
      <x:c r="N96" t="str">
        <x:v>Préventif synthétique</x:v>
      </x:c>
    </x:row>
    <x:row r="97" ht="23" customHeight="1">
      <x:c r="A97" t="str">
        <x:v>AV-1096</x:v>
      </x:c>
      <x:c r="B97" t="str">
        <x:v>2025-04-23</x:v>
      </x:c>
      <x:c r="C97" t="str">
        <x:v>E08</x:v>
      </x:c>
      <x:c r="D97" t="str">
        <x:v>PE-802</x:v>
      </x:c>
      <x:c r="E97" t="str">
        <x:v>Fluides</x:v>
      </x:c>
      <x:c r="F97" t="str">
        <x:v>VERT</x:v>
      </x:c>
      <x:c r="G97" t="str">
        <x:v>Préventif</x:v>
      </x:c>
      <x:c r="H97" t="str">
        <x:v>Contrôle programmé</x:v>
      </x:c>
      <x:c r="I97" t="str">
        <x:v>Inspection et contrôle selon gamme</x:v>
      </x:c>
      <x:c r="J97" t="str">
        <x:v>Clôturé</x:v>
      </x:c>
      <x:c r="K97" t="n">
        <x:v>0</x:v>
      </x:c>
      <x:c r="L97" t="n">
        <x:v>0</x:v>
      </x:c>
      <x:c r="M97" t="str">
        <x:v>Maintenance</x:v>
      </x:c>
      <x:c r="N97" t="str">
        <x:v>Préventif synthétique</x:v>
      </x:c>
    </x:row>
    <x:row r="98" ht="23" customHeight="1">
      <x:c r="A98" t="str">
        <x:v>AV-1097</x:v>
      </x:c>
      <x:c r="B98" t="str">
        <x:v>2025-05-03</x:v>
      </x:c>
      <x:c r="C98" t="str">
        <x:v>E01</x:v>
      </x:c>
      <x:c r="D98" t="str">
        <x:v>CV-101</x:v>
      </x:c>
      <x:c r="E98" t="str">
        <x:v>Transmission</x:v>
      </x:c>
      <x:c r="F98" t="str">
        <x:v>VERT</x:v>
      </x:c>
      <x:c r="G98" t="str">
        <x:v>Préventif</x:v>
      </x:c>
      <x:c r="H98" t="str">
        <x:v>Contrôle programmé</x:v>
      </x:c>
      <x:c r="I98" t="str">
        <x:v>Inspection et contrôle selon gamme</x:v>
      </x:c>
      <x:c r="J98" t="str">
        <x:v>Clôturé</x:v>
      </x:c>
      <x:c r="K98" t="n">
        <x:v>0</x:v>
      </x:c>
      <x:c r="L98" t="n">
        <x:v>0</x:v>
      </x:c>
      <x:c r="M98" t="str">
        <x:v>Maintenance</x:v>
      </x:c>
      <x:c r="N98" t="str">
        <x:v>Préventif synthétique</x:v>
      </x:c>
    </x:row>
    <x:row r="99" ht="23" customHeight="1">
      <x:c r="A99" t="str">
        <x:v>AV-1098</x:v>
      </x:c>
      <x:c r="B99" t="str">
        <x:v>2025-05-13</x:v>
      </x:c>
      <x:c r="C99" t="str">
        <x:v>E06</x:v>
      </x:c>
      <x:c r="D99" t="str">
        <x:v>CP-615</x:v>
      </x:c>
      <x:c r="E99" t="str">
        <x:v>Instrumentation</x:v>
      </x:c>
      <x:c r="F99" t="str">
        <x:v>VERT</x:v>
      </x:c>
      <x:c r="G99" t="str">
        <x:v>Préventif</x:v>
      </x:c>
      <x:c r="H99" t="str">
        <x:v>Contrôle programmé</x:v>
      </x:c>
      <x:c r="I99" t="str">
        <x:v>Inspection et contrôle selon gamme</x:v>
      </x:c>
      <x:c r="J99" t="str">
        <x:v>Clôturé</x:v>
      </x:c>
      <x:c r="K99" t="n">
        <x:v>0</x:v>
      </x:c>
      <x:c r="L99" t="n">
        <x:v>0</x:v>
      </x:c>
      <x:c r="M99" t="str">
        <x:v>Maintenance</x:v>
      </x:c>
      <x:c r="N99" t="str">
        <x:v>Préventif synthétique</x:v>
      </x:c>
    </x:row>
    <x:row r="100" ht="23" customHeight="1">
      <x:c r="A100" t="str">
        <x:v>AV-1099</x:v>
      </x:c>
      <x:c r="B100" t="str">
        <x:v>2025-05-23</x:v>
      </x:c>
      <x:c r="C100" t="str">
        <x:v>E11</x:v>
      </x:c>
      <x:c r="D100" t="str">
        <x:v>CA-220</x:v>
      </x:c>
      <x:c r="E100" t="str">
        <x:v>Air comprimé</x:v>
      </x:c>
      <x:c r="F100" t="str">
        <x:v>VERT</x:v>
      </x:c>
      <x:c r="G100" t="str">
        <x:v>Préventif</x:v>
      </x:c>
      <x:c r="H100" t="str">
        <x:v>Contrôle programmé</x:v>
      </x:c>
      <x:c r="I100" t="str">
        <x:v>Inspection et contrôle selon gamme</x:v>
      </x:c>
      <x:c r="J100" t="str">
        <x:v>Clôturé</x:v>
      </x:c>
      <x:c r="K100" t="n">
        <x:v>0</x:v>
      </x:c>
      <x:c r="L100" t="n">
        <x:v>0</x:v>
      </x:c>
      <x:c r="M100" t="str">
        <x:v>Maintenance</x:v>
      </x:c>
      <x:c r="N100" t="str">
        <x:v>Préventif synthétique</x:v>
      </x:c>
    </x:row>
    <x:row r="101" ht="23" customHeight="1">
      <x:c r="A101" t="str">
        <x:v>AV-1100</x:v>
      </x:c>
      <x:c r="B101" t="str">
        <x:v>2025-06-02</x:v>
      </x:c>
      <x:c r="C101" t="str">
        <x:v>E04</x:v>
      </x:c>
      <x:c r="D101" t="str">
        <x:v>MT-411</x:v>
      </x:c>
      <x:c r="E101" t="str">
        <x:v>Motorisation</x:v>
      </x:c>
      <x:c r="F101" t="str">
        <x:v>VERT</x:v>
      </x:c>
      <x:c r="G101" t="str">
        <x:v>Préventif</x:v>
      </x:c>
      <x:c r="H101" t="str">
        <x:v>Contrôle programmé</x:v>
      </x:c>
      <x:c r="I101" t="str">
        <x:v>Inspection et contrôle selon gamme</x:v>
      </x:c>
      <x:c r="J101" t="str">
        <x:v>Clôturé</x:v>
      </x:c>
      <x:c r="K101" t="n">
        <x:v>0</x:v>
      </x:c>
      <x:c r="L101" t="n">
        <x:v>0</x:v>
      </x:c>
      <x:c r="M101" t="str">
        <x:v>Maintenance</x:v>
      </x:c>
      <x:c r="N101" t="str">
        <x:v>Préventif synthétique</x:v>
      </x:c>
    </x:row>
    <x:row r="102" ht="23" customHeight="1">
      <x:c r="A102" t="str">
        <x:v>AV-1101</x:v>
      </x:c>
      <x:c r="B102" t="str">
        <x:v>2025-06-12</x:v>
      </x:c>
      <x:c r="C102" t="str">
        <x:v>E09</x:v>
      </x:c>
      <x:c r="D102" t="str">
        <x:v>VS-901</x:v>
      </x:c>
      <x:c r="E102" t="str">
        <x:v>Hydraulique</x:v>
      </x:c>
      <x:c r="F102" t="str">
        <x:v>VERT</x:v>
      </x:c>
      <x:c r="G102" t="str">
        <x:v>Préventif</x:v>
      </x:c>
      <x:c r="H102" t="str">
        <x:v>Contrôle programmé</x:v>
      </x:c>
      <x:c r="I102" t="str">
        <x:v>Inspection et contrôle selon gamme</x:v>
      </x:c>
      <x:c r="J102" t="str">
        <x:v>Clôturé</x:v>
      </x:c>
      <x:c r="K102" t="n">
        <x:v>0</x:v>
      </x:c>
      <x:c r="L102" t="n">
        <x:v>0</x:v>
      </x:c>
      <x:c r="M102" t="str">
        <x:v>Maintenance</x:v>
      </x:c>
      <x:c r="N102" t="str">
        <x:v>Préventif synthétique</x:v>
      </x:c>
    </x:row>
    <x:row r="103" ht="23" customHeight="1">
      <x:c r="A103" t="str">
        <x:v>AV-1102</x:v>
      </x:c>
      <x:c r="B103" t="str">
        <x:v>2025-06-22</x:v>
      </x:c>
      <x:c r="C103" t="str">
        <x:v>E02</x:v>
      </x:c>
      <x:c r="D103" t="str">
        <x:v>PH-204</x:v>
      </x:c>
      <x:c r="E103" t="str">
        <x:v>Hydraulique</x:v>
      </x:c>
      <x:c r="F103" t="str">
        <x:v>VERT</x:v>
      </x:c>
      <x:c r="G103" t="str">
        <x:v>Préventif</x:v>
      </x:c>
      <x:c r="H103" t="str">
        <x:v>Contrôle programmé</x:v>
      </x:c>
      <x:c r="I103" t="str">
        <x:v>Inspection et contrôle selon gamme</x:v>
      </x:c>
      <x:c r="J103" t="str">
        <x:v>Clôturé</x:v>
      </x:c>
      <x:c r="K103" t="n">
        <x:v>0</x:v>
      </x:c>
      <x:c r="L103" t="n">
        <x:v>0</x:v>
      </x:c>
      <x:c r="M103" t="str">
        <x:v>Maintenance</x:v>
      </x:c>
      <x:c r="N103" t="str">
        <x:v>Préventif synthétique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5" hidden="0" customWidth="1"/>
    <x:col min="5" max="5" width="20" hidden="0" customWidth="1"/>
    <x:col min="6" max="6" width="12" hidden="0" customWidth="1"/>
    <x:col min="7" max="7" width="22" hidden="0" customWidth="1"/>
    <x:col min="8" max="8" width="36" hidden="0" customWidth="1"/>
    <x:col min="9" max="9" width="38" hidden="0" customWidth="1"/>
    <x:col min="10" max="10" width="19" hidden="0" customWidth="1"/>
    <x:col min="11" max="11" width="15" hidden="0" customWidth="1"/>
    <x:col min="12" max="12" width="24" hidden="0" customWidth="1"/>
    <x:col min="13" max="13" width="40" hidden="0" customWidth="1"/>
  </x:cols>
  <x:sheetData>
    <x:row r="1" ht="34" customHeight="1">
      <x:c r="A1" s="5" t="str">
        <x:v>ID OT</x:v>
      </x:c>
      <x:c r="B1" s="5" t="str">
        <x:v>Date OT</x:v>
      </x:c>
      <x:c r="C1" s="5" t="str">
        <x:v>ID équipement</x:v>
      </x:c>
      <x:c r="D1" s="5" t="str">
        <x:v>Repère</x:v>
      </x:c>
      <x:c r="E1" s="5" t="str">
        <x:v>Sous-ensemble</x:v>
      </x:c>
      <x:c r="F1" s="5" t="str">
        <x:v>Flux</x:v>
      </x:c>
      <x:c r="G1" s="5" t="str">
        <x:v>Type OT</x:v>
      </x:c>
      <x:c r="H1" s="5" t="str">
        <x:v>Symptôme panne / travail</x:v>
      </x:c>
      <x:c r="I1" s="5" t="str">
        <x:v>Cause identifiée (fictive)</x:v>
      </x:c>
      <x:c r="J1" s="5" t="str">
        <x:v>Durée arrêt (h)</x:v>
      </x:c>
      <x:c r="K1" s="5" t="str">
        <x:v>Statut</x:v>
      </x:c>
      <x:c r="L1" s="5" t="str">
        <x:v>Avis lié administrativement</x:v>
      </x:c>
      <x:c r="M1" s="5" t="str">
        <x:v>Note jeu de test</x:v>
      </x:c>
    </x:row>
    <x:row r="2" ht="23" customHeight="1">
      <x:c r="A2" t="str">
        <x:v>OT-5001</x:v>
      </x:c>
      <x:c r="B2" t="str">
        <x:v>2025-01-11</x:v>
      </x:c>
      <x:c r="C2" t="str">
        <x:v>E01</x:v>
      </x:c>
      <x:c r="D2" t="str">
        <x:v>CV-101</x:v>
      </x:c>
      <x:c r="E2" t="str">
        <x:v>Transmission</x:v>
      </x:c>
      <x:c r="F2" t="str">
        <x:v>ROUGE</x:v>
      </x:c>
      <x:c r="G2" t="str">
        <x:v>Correctif urgent</x:v>
      </x:c>
      <x:c r="H2" t="str">
        <x:v>Perte de pression et échauffement</x:v>
      </x:c>
      <x:c r="I2" t="str">
        <x:v>Joint usé / lubrification insuffisante</x:v>
      </x:c>
      <x:c r="J2" t="n">
        <x:v>18</x:v>
      </x:c>
      <x:c r="K2" t="str">
        <x:v>Clôturé</x:v>
      </x:c>
      <x:c r="L2" t="str">
        <x:v>AV-1001</x:v>
      </x:c>
      <x:c r="M2" t="str">
        <x:v>Panne synthétique</x:v>
      </x:c>
    </x:row>
    <x:row r="3" ht="23" customHeight="1">
      <x:c r="A3" t="str">
        <x:v>OT-5002</x:v>
      </x:c>
      <x:c r="B3" t="str">
        <x:v>2025-03-14</x:v>
      </x:c>
      <x:c r="C3" t="str">
        <x:v>E02</x:v>
      </x:c>
      <x:c r="D3" t="str">
        <x:v>PH-204</x:v>
      </x:c>
      <x:c r="E3" t="str">
        <x:v>Hydraulique</x:v>
      </x:c>
      <x:c r="F3" t="str">
        <x:v>ROUGE</x:v>
      </x:c>
      <x:c r="G3" t="str">
        <x:v>Correctif urgent</x:v>
      </x:c>
      <x:c r="H3" t="str">
        <x:v>Vibration forte et arrêt</x:v>
      </x:c>
      <x:c r="I3" t="str">
        <x:v>Roulement dégradé</x:v>
      </x:c>
      <x:c r="J3" t="n">
        <x:v>6</x:v>
      </x:c>
      <x:c r="K3" t="str">
        <x:v>Clôturé</x:v>
      </x:c>
      <x:c r="L3" t="str"/>
      <x:c r="M3" t="str">
        <x:v>Panne synthétique</x:v>
      </x:c>
    </x:row>
    <x:row r="4" ht="23" customHeight="1">
      <x:c r="A4" t="str">
        <x:v>OT-5003</x:v>
      </x:c>
      <x:c r="B4" t="str">
        <x:v>2025-03-09</x:v>
      </x:c>
      <x:c r="C4" t="str">
        <x:v>E03</x:v>
      </x:c>
      <x:c r="D4" t="str">
        <x:v>VF-302</x:v>
      </x:c>
      <x:c r="E4" t="str">
        <x:v>Ventilation</x:v>
      </x:c>
      <x:c r="F4" t="str">
        <x:v>ROUGE</x:v>
      </x:c>
      <x:c r="G4" t="str">
        <x:v>Correctif urgent</x:v>
      </x:c>
      <x:c r="H4" t="str">
        <x:v>Bruit métallique et blocage</x:v>
      </x:c>
      <x:c r="I4" t="str">
        <x:v>Usure transmission</x:v>
      </x:c>
      <x:c r="J4" t="n">
        <x:v>18</x:v>
      </x:c>
      <x:c r="K4" t="str">
        <x:v>Clôturé</x:v>
      </x:c>
      <x:c r="L4" t="str"/>
      <x:c r="M4" t="str">
        <x:v>Panne synthétique</x:v>
      </x:c>
    </x:row>
    <x:row r="5" ht="23" customHeight="1">
      <x:c r="A5" t="str">
        <x:v>OT-5004</x:v>
      </x:c>
      <x:c r="B5" t="str">
        <x:v>2025-03-19</x:v>
      </x:c>
      <x:c r="C5" t="str">
        <x:v>E04</x:v>
      </x:c>
      <x:c r="D5" t="str">
        <x:v>MT-411</x:v>
      </x:c>
      <x:c r="E5" t="str">
        <x:v>Motorisation</x:v>
      </x:c>
      <x:c r="F5" t="str">
        <x:v>ROUGE</x:v>
      </x:c>
      <x:c r="G5" t="str">
        <x:v>Correctif urgent</x:v>
      </x:c>
      <x:c r="H5" t="str">
        <x:v>Surchauffe et déclenchement</x:v>
      </x:c>
      <x:c r="I5" t="str">
        <x:v>Refroidissement dégradé</x:v>
      </x:c>
      <x:c r="J5" t="n">
        <x:v>2</x:v>
      </x:c>
      <x:c r="K5" t="str">
        <x:v>Clôturé</x:v>
      </x:c>
      <x:c r="L5" t="str"/>
      <x:c r="M5" t="str">
        <x:v>Panne synthétique</x:v>
      </x:c>
    </x:row>
    <x:row r="6" ht="23" customHeight="1">
      <x:c r="A6" t="str">
        <x:v>OT-5005</x:v>
      </x:c>
      <x:c r="B6" t="str">
        <x:v>2025-03-19</x:v>
      </x:c>
      <x:c r="C6" t="str">
        <x:v>E05</x:v>
      </x:c>
      <x:c r="D6" t="str">
        <x:v>VR-509</x:v>
      </x:c>
      <x:c r="E6" t="str">
        <x:v>Fluides</x:v>
      </x:c>
      <x:c r="F6" t="str">
        <x:v>ROUGE</x:v>
      </x:c>
      <x:c r="G6" t="str">
        <x:v>Correctif urgent</x:v>
      </x:c>
      <x:c r="H6" t="str">
        <x:v>Perte de pression et arrêt</x:v>
      </x:c>
      <x:c r="I6" t="str">
        <x:v>Fuite interne</x:v>
      </x:c>
      <x:c r="J6" t="n">
        <x:v>18</x:v>
      </x:c>
      <x:c r="K6" t="str">
        <x:v>Clôturé</x:v>
      </x:c>
      <x:c r="L6" t="str">
        <x:v>AV-1005</x:v>
      </x:c>
      <x:c r="M6" t="str">
        <x:v>Panne synthétique</x:v>
      </x:c>
    </x:row>
    <x:row r="7" ht="23" customHeight="1">
      <x:c r="A7" t="str">
        <x:v>OT-5006</x:v>
      </x:c>
      <x:c r="B7" t="str">
        <x:v>2025-04-02</x:v>
      </x:c>
      <x:c r="C7" t="str">
        <x:v>E06</x:v>
      </x:c>
      <x:c r="D7" t="str">
        <x:v>CP-615</x:v>
      </x:c>
      <x:c r="E7" t="str">
        <x:v>Instrumentation</x:v>
      </x:c>
      <x:c r="F7" t="str">
        <x:v>ROUGE</x:v>
      </x:c>
      <x:c r="G7" t="str">
        <x:v>Correctif urgent</x:v>
      </x:c>
      <x:c r="H7" t="str">
        <x:v>Défaut permanent et arrêt</x:v>
      </x:c>
      <x:c r="I7" t="str">
        <x:v>Connectique dégradée</x:v>
      </x:c>
      <x:c r="J7" t="n">
        <x:v>4</x:v>
      </x:c>
      <x:c r="K7" t="str">
        <x:v>Clôturé</x:v>
      </x:c>
      <x:c r="L7" t="str"/>
      <x:c r="M7" t="str">
        <x:v>Panne synthétique</x:v>
      </x:c>
    </x:row>
    <x:row r="8" ht="23" customHeight="1">
      <x:c r="A8" t="str">
        <x:v>OT-5007</x:v>
      </x:c>
      <x:c r="B8" t="str">
        <x:v>2025-05-21</x:v>
      </x:c>
      <x:c r="C8" t="str">
        <x:v>E07</x:v>
      </x:c>
      <x:c r="D8" t="str">
        <x:v>GL-710</x:v>
      </x:c>
      <x:c r="E8" t="str">
        <x:v>Lubrification</x:v>
      </x:c>
      <x:c r="F8" t="str">
        <x:v>ROUGE</x:v>
      </x:c>
      <x:c r="G8" t="str">
        <x:v>Correctif urgent</x:v>
      </x:c>
      <x:c r="H8" t="str">
        <x:v>Débit nul et arrêt</x:v>
      </x:c>
      <x:c r="I8" t="str">
        <x:v>Colmatage</x:v>
      </x:c>
      <x:c r="J8" t="n">
        <x:v>12</x:v>
      </x:c>
      <x:c r="K8" t="str">
        <x:v>Clôturé</x:v>
      </x:c>
      <x:c r="L8" t="str"/>
      <x:c r="M8" t="str">
        <x:v>Panne synthétique</x:v>
      </x:c>
    </x:row>
    <x:row r="9" ht="23" customHeight="1">
      <x:c r="A9" t="str">
        <x:v>OT-5008</x:v>
      </x:c>
      <x:c r="B9" t="str">
        <x:v>2025-04-18</x:v>
      </x:c>
      <x:c r="C9" t="str">
        <x:v>E08</x:v>
      </x:c>
      <x:c r="D9" t="str">
        <x:v>PE-802</x:v>
      </x:c>
      <x:c r="E9" t="str">
        <x:v>Fluides</x:v>
      </x:c>
      <x:c r="F9" t="str">
        <x:v>ROUGE</x:v>
      </x:c>
      <x:c r="G9" t="str">
        <x:v>Correctif urgent</x:v>
      </x:c>
      <x:c r="H9" t="str">
        <x:v>Rupture mécanique et arrêt</x:v>
      </x:c>
      <x:c r="I9" t="str">
        <x:v>Desserrage progressif</x:v>
      </x:c>
      <x:c r="J9" t="n">
        <x:v>6</x:v>
      </x:c>
      <x:c r="K9" t="str">
        <x:v>Clôturé</x:v>
      </x:c>
      <x:c r="L9" t="str"/>
      <x:c r="M9" t="str">
        <x:v>Panne synthétique</x:v>
      </x:c>
    </x:row>
    <x:row r="10" ht="23" customHeight="1">
      <x:c r="A10" t="str">
        <x:v>OT-5009</x:v>
      </x:c>
      <x:c r="B10" t="str">
        <x:v>2025-05-18</x:v>
      </x:c>
      <x:c r="C10" t="str">
        <x:v>E09</x:v>
      </x:c>
      <x:c r="D10" t="str">
        <x:v>VS-901</x:v>
      </x:c>
      <x:c r="E10" t="str">
        <x:v>Hydraulique</x:v>
      </x:c>
      <x:c r="F10" t="str">
        <x:v>ROUGE</x:v>
      </x:c>
      <x:c r="G10" t="str">
        <x:v>Correctif urgent</x:v>
      </x:c>
      <x:c r="H10" t="str">
        <x:v>Perte de pression et échauffement</x:v>
      </x:c>
      <x:c r="I10" t="str">
        <x:v>Joint usé / lubrification insuffisante</x:v>
      </x:c>
      <x:c r="J10" t="n">
        <x:v>4</x:v>
      </x:c>
      <x:c r="K10" t="str">
        <x:v>Clôturé</x:v>
      </x:c>
      <x:c r="L10" t="str">
        <x:v>AV-1009</x:v>
      </x:c>
      <x:c r="M10" t="str">
        <x:v>Panne synthétique</x:v>
      </x:c>
    </x:row>
    <x:row r="11" ht="23" customHeight="1">
      <x:c r="A11" t="str">
        <x:v>OT-5010</x:v>
      </x:c>
      <x:c r="B11" t="str">
        <x:v>2025-05-21</x:v>
      </x:c>
      <x:c r="C11" t="str">
        <x:v>E10</x:v>
      </x:c>
      <x:c r="D11" t="str">
        <x:v>CS-102</x:v>
      </x:c>
      <x:c r="E11" t="str">
        <x:v>Transport</x:v>
      </x:c>
      <x:c r="F11" t="str">
        <x:v>ROUGE</x:v>
      </x:c>
      <x:c r="G11" t="str">
        <x:v>Correctif urgent</x:v>
      </x:c>
      <x:c r="H11" t="str">
        <x:v>Vibration forte et arrêt</x:v>
      </x:c>
      <x:c r="I11" t="str">
        <x:v>Roulement dégradé</x:v>
      </x:c>
      <x:c r="J11" t="n">
        <x:v>2</x:v>
      </x:c>
      <x:c r="K11" t="str">
        <x:v>Clôturé</x:v>
      </x:c>
      <x:c r="L11" t="str"/>
      <x:c r="M11" t="str">
        <x:v>Panne synthétique</x:v>
      </x:c>
    </x:row>
    <x:row r="12" ht="23" customHeight="1">
      <x:c r="A12" t="str">
        <x:v>OT-5011</x:v>
      </x:c>
      <x:c r="B12" t="str">
        <x:v>2025-07-17</x:v>
      </x:c>
      <x:c r="C12" t="str">
        <x:v>E11</x:v>
      </x:c>
      <x:c r="D12" t="str">
        <x:v>CA-220</x:v>
      </x:c>
      <x:c r="E12" t="str">
        <x:v>Air comprimé</x:v>
      </x:c>
      <x:c r="F12" t="str">
        <x:v>ROUGE</x:v>
      </x:c>
      <x:c r="G12" t="str">
        <x:v>Correctif urgent</x:v>
      </x:c>
      <x:c r="H12" t="str">
        <x:v>Bruit métallique et blocage</x:v>
      </x:c>
      <x:c r="I12" t="str">
        <x:v>Usure transmission</x:v>
      </x:c>
      <x:c r="J12" t="n">
        <x:v>18</x:v>
      </x:c>
      <x:c r="K12" t="str">
        <x:v>Clôturé</x:v>
      </x:c>
      <x:c r="L12" t="str"/>
      <x:c r="M12" t="str">
        <x:v>Panne synthétique</x:v>
      </x:c>
    </x:row>
    <x:row r="13" ht="23" customHeight="1">
      <x:c r="A13" t="str">
        <x:v>OT-5012</x:v>
      </x:c>
      <x:c r="B13" t="str">
        <x:v>2025-06-29</x:v>
      </x:c>
      <x:c r="C13" t="str">
        <x:v>E12</x:v>
      </x:c>
      <x:c r="D13" t="str">
        <x:v>AA-330</x:v>
      </x:c>
      <x:c r="E13" t="str">
        <x:v>Automatisme</x:v>
      </x:c>
      <x:c r="F13" t="str">
        <x:v>ROUGE</x:v>
      </x:c>
      <x:c r="G13" t="str">
        <x:v>Correctif urgent</x:v>
      </x:c>
      <x:c r="H13" t="str">
        <x:v>Surchauffe et déclenchement</x:v>
      </x:c>
      <x:c r="I13" t="str">
        <x:v>Refroidissement dégradé</x:v>
      </x:c>
      <x:c r="J13" t="n">
        <x:v>4</x:v>
      </x:c>
      <x:c r="K13" t="str">
        <x:v>Clôturé</x:v>
      </x:c>
      <x:c r="L13" t="str"/>
      <x:c r="M13" t="str">
        <x:v>Panne synthétique</x:v>
      </x:c>
    </x:row>
    <x:row r="14" ht="23" customHeight="1">
      <x:c r="A14" t="str">
        <x:v>OT-5013</x:v>
      </x:c>
      <x:c r="B14" t="str">
        <x:v>2025-07-04</x:v>
      </x:c>
      <x:c r="C14" t="str">
        <x:v>E01</x:v>
      </x:c>
      <x:c r="D14" t="str">
        <x:v>CV-101</x:v>
      </x:c>
      <x:c r="E14" t="str">
        <x:v>Transmission</x:v>
      </x:c>
      <x:c r="F14" t="str">
        <x:v>ROUGE</x:v>
      </x:c>
      <x:c r="G14" t="str">
        <x:v>Correctif urgent</x:v>
      </x:c>
      <x:c r="H14" t="str">
        <x:v>Perte de pression et arrêt</x:v>
      </x:c>
      <x:c r="I14" t="str">
        <x:v>Fuite interne</x:v>
      </x:c>
      <x:c r="J14" t="n">
        <x:v>2</x:v>
      </x:c>
      <x:c r="K14" t="str">
        <x:v>Clôturé</x:v>
      </x:c>
      <x:c r="L14" t="str">
        <x:v>AV-1013</x:v>
      </x:c>
      <x:c r="M14" t="str">
        <x:v>Panne synthétique</x:v>
      </x:c>
    </x:row>
    <x:row r="15" ht="23" customHeight="1">
      <x:c r="A15" t="str">
        <x:v>OT-5014</x:v>
      </x:c>
      <x:c r="B15" t="str">
        <x:v>2025-08-29</x:v>
      </x:c>
      <x:c r="C15" t="str">
        <x:v>E02</x:v>
      </x:c>
      <x:c r="D15" t="str">
        <x:v>PH-204</x:v>
      </x:c>
      <x:c r="E15" t="str">
        <x:v>Hydraulique</x:v>
      </x:c>
      <x:c r="F15" t="str">
        <x:v>ROUGE</x:v>
      </x:c>
      <x:c r="G15" t="str">
        <x:v>Correctif urgent</x:v>
      </x:c>
      <x:c r="H15" t="str">
        <x:v>Défaut permanent et arrêt</x:v>
      </x:c>
      <x:c r="I15" t="str">
        <x:v>Connectique dégradée</x:v>
      </x:c>
      <x:c r="J15" t="n">
        <x:v>6</x:v>
      </x:c>
      <x:c r="K15" t="str">
        <x:v>Clôturé</x:v>
      </x:c>
      <x:c r="L15" t="str"/>
      <x:c r="M15" t="str">
        <x:v>Panne synthétique</x:v>
      </x:c>
    </x:row>
    <x:row r="16" ht="23" customHeight="1">
      <x:c r="A16" t="str">
        <x:v>OT-5015</x:v>
      </x:c>
      <x:c r="B16" t="str">
        <x:v>2025-09-10</x:v>
      </x:c>
      <x:c r="C16" t="str">
        <x:v>E03</x:v>
      </x:c>
      <x:c r="D16" t="str">
        <x:v>VF-302</x:v>
      </x:c>
      <x:c r="E16" t="str">
        <x:v>Ventilation</x:v>
      </x:c>
      <x:c r="F16" t="str">
        <x:v>ROUGE</x:v>
      </x:c>
      <x:c r="G16" t="str">
        <x:v>Correctif urgent</x:v>
      </x:c>
      <x:c r="H16" t="str">
        <x:v>Débit nul et arrêt</x:v>
      </x:c>
      <x:c r="I16" t="str">
        <x:v>Colmatage</x:v>
      </x:c>
      <x:c r="J16" t="n">
        <x:v>6</x:v>
      </x:c>
      <x:c r="K16" t="str">
        <x:v>Clôturé</x:v>
      </x:c>
      <x:c r="L16" t="str"/>
      <x:c r="M16" t="str">
        <x:v>Panne synthétique</x:v>
      </x:c>
    </x:row>
    <x:row r="17" ht="23" customHeight="1">
      <x:c r="A17" t="str">
        <x:v>OT-5016</x:v>
      </x:c>
      <x:c r="B17" t="str">
        <x:v>2025-09-27</x:v>
      </x:c>
      <x:c r="C17" t="str">
        <x:v>E04</x:v>
      </x:c>
      <x:c r="D17" t="str">
        <x:v>MT-411</x:v>
      </x:c>
      <x:c r="E17" t="str">
        <x:v>Motorisation</x:v>
      </x:c>
      <x:c r="F17" t="str">
        <x:v>ROUGE</x:v>
      </x:c>
      <x:c r="G17" t="str">
        <x:v>Correctif urgent</x:v>
      </x:c>
      <x:c r="H17" t="str">
        <x:v>Rupture mécanique et arrêt</x:v>
      </x:c>
      <x:c r="I17" t="str">
        <x:v>Desserrage progressif</x:v>
      </x:c>
      <x:c r="J17" t="n">
        <x:v>12</x:v>
      </x:c>
      <x:c r="K17" t="str">
        <x:v>Clôturé</x:v>
      </x:c>
      <x:c r="L17" t="str"/>
      <x:c r="M17" t="str">
        <x:v>Panne synthétique</x:v>
      </x:c>
    </x:row>
    <x:row r="18" ht="23" customHeight="1">
      <x:c r="A18" t="str">
        <x:v>OT-5017</x:v>
      </x:c>
      <x:c r="B18" t="str">
        <x:v>2025-10-09</x:v>
      </x:c>
      <x:c r="C18" t="str">
        <x:v>E05</x:v>
      </x:c>
      <x:c r="D18" t="str">
        <x:v>VR-509</x:v>
      </x:c>
      <x:c r="E18" t="str">
        <x:v>Fluides</x:v>
      </x:c>
      <x:c r="F18" t="str">
        <x:v>ROUGE</x:v>
      </x:c>
      <x:c r="G18" t="str">
        <x:v>Correctif urgent</x:v>
      </x:c>
      <x:c r="H18" t="str">
        <x:v>Perte de pression et échauffement</x:v>
      </x:c>
      <x:c r="I18" t="str">
        <x:v>Joint usé / lubrification insuffisante</x:v>
      </x:c>
      <x:c r="J18" t="n">
        <x:v>6</x:v>
      </x:c>
      <x:c r="K18" t="str">
        <x:v>Clôturé</x:v>
      </x:c>
      <x:c r="L18" t="str">
        <x:v>AV-1017</x:v>
      </x:c>
      <x:c r="M18" t="str">
        <x:v>Panne synthétique</x:v>
      </x:c>
    </x:row>
    <x:row r="19" ht="23" customHeight="1">
      <x:c r="A19" t="str">
        <x:v>OT-5018</x:v>
      </x:c>
      <x:c r="B19" t="str">
        <x:v>2025-09-14</x:v>
      </x:c>
      <x:c r="C19" t="str">
        <x:v>E06</x:v>
      </x:c>
      <x:c r="D19" t="str">
        <x:v>CP-615</x:v>
      </x:c>
      <x:c r="E19" t="str">
        <x:v>Instrumentation</x:v>
      </x:c>
      <x:c r="F19" t="str">
        <x:v>ROUGE</x:v>
      </x:c>
      <x:c r="G19" t="str">
        <x:v>Correctif urgent</x:v>
      </x:c>
      <x:c r="H19" t="str">
        <x:v>Vibration forte et arrêt</x:v>
      </x:c>
      <x:c r="I19" t="str">
        <x:v>Roulement dégradé</x:v>
      </x:c>
      <x:c r="J19" t="n">
        <x:v>4</x:v>
      </x:c>
      <x:c r="K19" t="str">
        <x:v>Clôturé</x:v>
      </x:c>
      <x:c r="L19" t="str"/>
      <x:c r="M19" t="str">
        <x:v>Panne synthétique</x:v>
      </x:c>
    </x:row>
    <x:row r="20" ht="23" customHeight="1">
      <x:c r="A20" t="str">
        <x:v>OT-5019</x:v>
      </x:c>
      <x:c r="B20" t="str">
        <x:v>2025-10-18</x:v>
      </x:c>
      <x:c r="C20" t="str">
        <x:v>E07</x:v>
      </x:c>
      <x:c r="D20" t="str">
        <x:v>GL-710</x:v>
      </x:c>
      <x:c r="E20" t="str">
        <x:v>Lubrification</x:v>
      </x:c>
      <x:c r="F20" t="str">
        <x:v>ROUGE</x:v>
      </x:c>
      <x:c r="G20" t="str">
        <x:v>Correctif urgent</x:v>
      </x:c>
      <x:c r="H20" t="str">
        <x:v>Bruit métallique et blocage</x:v>
      </x:c>
      <x:c r="I20" t="str">
        <x:v>Usure transmission</x:v>
      </x:c>
      <x:c r="J20" t="n">
        <x:v>18</x:v>
      </x:c>
      <x:c r="K20" t="str">
        <x:v>Clôturé</x:v>
      </x:c>
      <x:c r="L20" t="str"/>
      <x:c r="M20" t="str">
        <x:v>Panne synthétique</x:v>
      </x:c>
    </x:row>
    <x:row r="21" ht="23" customHeight="1">
      <x:c r="A21" t="str">
        <x:v>OT-5020</x:v>
      </x:c>
      <x:c r="B21" t="str">
        <x:v>2025-10-12</x:v>
      </x:c>
      <x:c r="C21" t="str">
        <x:v>E08</x:v>
      </x:c>
      <x:c r="D21" t="str">
        <x:v>PE-802</x:v>
      </x:c>
      <x:c r="E21" t="str">
        <x:v>Fluides</x:v>
      </x:c>
      <x:c r="F21" t="str">
        <x:v>ROUGE</x:v>
      </x:c>
      <x:c r="G21" t="str">
        <x:v>Correctif urgent</x:v>
      </x:c>
      <x:c r="H21" t="str">
        <x:v>Surchauffe et déclenchement</x:v>
      </x:c>
      <x:c r="I21" t="str">
        <x:v>Refroidissement dégradé</x:v>
      </x:c>
      <x:c r="J21" t="n">
        <x:v>2</x:v>
      </x:c>
      <x:c r="K21" t="str">
        <x:v>Clôturé</x:v>
      </x:c>
      <x:c r="L21" t="str"/>
      <x:c r="M21" t="str">
        <x:v>Panne synthétique</x:v>
      </x:c>
    </x:row>
    <x:row r="22" ht="23" customHeight="1">
      <x:c r="A22" t="str">
        <x:v>OT-5021</x:v>
      </x:c>
      <x:c r="B22" t="str">
        <x:v>2025-12-03</x:v>
      </x:c>
      <x:c r="C22" t="str">
        <x:v>E09</x:v>
      </x:c>
      <x:c r="D22" t="str">
        <x:v>VS-901</x:v>
      </x:c>
      <x:c r="E22" t="str">
        <x:v>Hydraulique</x:v>
      </x:c>
      <x:c r="F22" t="str">
        <x:v>ROUGE</x:v>
      </x:c>
      <x:c r="G22" t="str">
        <x:v>Correctif urgent</x:v>
      </x:c>
      <x:c r="H22" t="str">
        <x:v>Perte de pression et arrêt</x:v>
      </x:c>
      <x:c r="I22" t="str">
        <x:v>Fuite interne</x:v>
      </x:c>
      <x:c r="J22" t="n">
        <x:v>2</x:v>
      </x:c>
      <x:c r="K22" t="str">
        <x:v>Clôturé</x:v>
      </x:c>
      <x:c r="L22" t="str">
        <x:v>AV-1021</x:v>
      </x:c>
      <x:c r="M22" t="str">
        <x:v>Panne synthétique</x:v>
      </x:c>
    </x:row>
    <x:row r="23" ht="23" customHeight="1">
      <x:c r="A23" t="str">
        <x:v>OT-5022</x:v>
      </x:c>
      <x:c r="B23" t="str">
        <x:v>2025-12-18</x:v>
      </x:c>
      <x:c r="C23" t="str">
        <x:v>E10</x:v>
      </x:c>
      <x:c r="D23" t="str">
        <x:v>CS-102</x:v>
      </x:c>
      <x:c r="E23" t="str">
        <x:v>Transport</x:v>
      </x:c>
      <x:c r="F23" t="str">
        <x:v>ROUGE</x:v>
      </x:c>
      <x:c r="G23" t="str">
        <x:v>Correctif urgent</x:v>
      </x:c>
      <x:c r="H23" t="str">
        <x:v>Défaut permanent et arrêt</x:v>
      </x:c>
      <x:c r="I23" t="str">
        <x:v>Connectique dégradée</x:v>
      </x:c>
      <x:c r="J23" t="n">
        <x:v>12</x:v>
      </x:c>
      <x:c r="K23" t="str">
        <x:v>Clôturé</x:v>
      </x:c>
      <x:c r="L23" t="str"/>
      <x:c r="M23" t="str">
        <x:v>Panne synthétique</x:v>
      </x:c>
    </x:row>
    <x:row r="24" ht="23" customHeight="1">
      <x:c r="A24" t="str">
        <x:v>OT-5023</x:v>
      </x:c>
      <x:c r="B24" t="str">
        <x:v>2025-11-15</x:v>
      </x:c>
      <x:c r="C24" t="str">
        <x:v>E11</x:v>
      </x:c>
      <x:c r="D24" t="str">
        <x:v>CA-220</x:v>
      </x:c>
      <x:c r="E24" t="str">
        <x:v>Air comprimé</x:v>
      </x:c>
      <x:c r="F24" t="str">
        <x:v>ROUGE</x:v>
      </x:c>
      <x:c r="G24" t="str">
        <x:v>Correctif urgent</x:v>
      </x:c>
      <x:c r="H24" t="str">
        <x:v>Débit nul et arrêt</x:v>
      </x:c>
      <x:c r="I24" t="str">
        <x:v>Colmatage</x:v>
      </x:c>
      <x:c r="J24" t="n">
        <x:v>18</x:v>
      </x:c>
      <x:c r="K24" t="str">
        <x:v>Clôturé</x:v>
      </x:c>
      <x:c r="L24" t="str"/>
      <x:c r="M24" t="str">
        <x:v>Panne synthétique</x:v>
      </x:c>
    </x:row>
    <x:row r="25" ht="23" customHeight="1">
      <x:c r="A25" t="str">
        <x:v>OT-5024</x:v>
      </x:c>
      <x:c r="B25" t="str">
        <x:v>2026-02-06</x:v>
      </x:c>
      <x:c r="C25" t="str">
        <x:v>E12</x:v>
      </x:c>
      <x:c r="D25" t="str">
        <x:v>AA-330</x:v>
      </x:c>
      <x:c r="E25" t="str">
        <x:v>Automatisme</x:v>
      </x:c>
      <x:c r="F25" t="str">
        <x:v>ROUGE</x:v>
      </x:c>
      <x:c r="G25" t="str">
        <x:v>Correctif urgent</x:v>
      </x:c>
      <x:c r="H25" t="str">
        <x:v>Rupture mécanique et arrêt</x:v>
      </x:c>
      <x:c r="I25" t="str">
        <x:v>Desserrage progressif</x:v>
      </x:c>
      <x:c r="J25" t="n">
        <x:v>6</x:v>
      </x:c>
      <x:c r="K25" t="str">
        <x:v>Clôturé</x:v>
      </x:c>
      <x:c r="L25" t="str"/>
      <x:c r="M25" t="str">
        <x:v>Panne synthétique</x:v>
      </x:c>
    </x:row>
    <x:row r="26" ht="23" customHeight="1">
      <x:c r="A26" t="str">
        <x:v>OT-5025</x:v>
      </x:c>
      <x:c r="B26" t="str">
        <x:v>2025-01-10</x:v>
      </x:c>
      <x:c r="C26" t="str">
        <x:v>E01</x:v>
      </x:c>
      <x:c r="D26" t="str">
        <x:v>CV-101</x:v>
      </x:c>
      <x:c r="E26" t="str">
        <x:v>Transmission</x:v>
      </x:c>
      <x:c r="F26" t="str">
        <x:v>VERT</x:v>
      </x:c>
      <x:c r="G26" t="str">
        <x:v>Préventif planifié</x:v>
      </x:c>
      <x:c r="H26" t="str">
        <x:v>Inspection / graissage</x:v>
      </x:c>
      <x:c r="I26" t="str">
        <x:v>RAS ou réglage préventif</x:v>
      </x:c>
      <x:c r="J26" t="n">
        <x:v>3</x:v>
      </x:c>
      <x:c r="K26" t="str">
        <x:v>Clôturé</x:v>
      </x:c>
      <x:c r="L26" t="str"/>
      <x:c r="M26" t="str">
        <x:v>OT préventif synthétique</x:v>
      </x:c>
    </x:row>
    <x:row r="27" ht="23" customHeight="1">
      <x:c r="A27" t="str">
        <x:v>OT-5026</x:v>
      </x:c>
      <x:c r="B27" t="str">
        <x:v>2025-02-04</x:v>
      </x:c>
      <x:c r="C27" t="str">
        <x:v>E06</x:v>
      </x:c>
      <x:c r="D27" t="str">
        <x:v>CP-615</x:v>
      </x:c>
      <x:c r="E27" t="str">
        <x:v>Instrumentation</x:v>
      </x:c>
      <x:c r="F27" t="str">
        <x:v>VERT</x:v>
      </x:c>
      <x:c r="G27" t="str">
        <x:v>Préventif planifié</x:v>
      </x:c>
      <x:c r="H27" t="str">
        <x:v>Inspection / graissage</x:v>
      </x:c>
      <x:c r="I27" t="str">
        <x:v>RAS ou réglage préventif</x:v>
      </x:c>
      <x:c r="J27" t="n">
        <x:v>2</x:v>
      </x:c>
      <x:c r="K27" t="str">
        <x:v>Clôturé</x:v>
      </x:c>
      <x:c r="L27" t="str"/>
      <x:c r="M27" t="str">
        <x:v>OT préventif synthétique</x:v>
      </x:c>
    </x:row>
    <x:row r="28" ht="23" customHeight="1">
      <x:c r="A28" t="str">
        <x:v>OT-5027</x:v>
      </x:c>
      <x:c r="B28" t="str">
        <x:v>2025-03-01</x:v>
      </x:c>
      <x:c r="C28" t="str">
        <x:v>E11</x:v>
      </x:c>
      <x:c r="D28" t="str">
        <x:v>CA-220</x:v>
      </x:c>
      <x:c r="E28" t="str">
        <x:v>Air comprimé</x:v>
      </x:c>
      <x:c r="F28" t="str">
        <x:v>VERT</x:v>
      </x:c>
      <x:c r="G28" t="str">
        <x:v>Préventif planifié</x:v>
      </x:c>
      <x:c r="H28" t="str">
        <x:v>Inspection / graissage</x:v>
      </x:c>
      <x:c r="I28" t="str">
        <x:v>RAS ou réglage préventif</x:v>
      </x:c>
      <x:c r="J28" t="n">
        <x:v>1</x:v>
      </x:c>
      <x:c r="K28" t="str">
        <x:v>Clôturé</x:v>
      </x:c>
      <x:c r="L28" t="str"/>
      <x:c r="M28" t="str">
        <x:v>OT préventif synthétique</x:v>
      </x:c>
    </x:row>
    <x:row r="29" ht="23" customHeight="1">
      <x:c r="A29" t="str">
        <x:v>OT-5028</x:v>
      </x:c>
      <x:c r="B29" t="str">
        <x:v>2025-03-26</x:v>
      </x:c>
      <x:c r="C29" t="str">
        <x:v>E04</x:v>
      </x:c>
      <x:c r="D29" t="str">
        <x:v>MT-411</x:v>
      </x:c>
      <x:c r="E29" t="str">
        <x:v>Motorisation</x:v>
      </x:c>
      <x:c r="F29" t="str">
        <x:v>VERT</x:v>
      </x:c>
      <x:c r="G29" t="str">
        <x:v>Préventif planifié</x:v>
      </x:c>
      <x:c r="H29" t="str">
        <x:v>Inspection / graissage</x:v>
      </x:c>
      <x:c r="I29" t="str">
        <x:v>RAS ou réglage préventif</x:v>
      </x:c>
      <x:c r="J29" t="n">
        <x:v>3</x:v>
      </x:c>
      <x:c r="K29" t="str">
        <x:v>Clôturé</x:v>
      </x:c>
      <x:c r="L29" t="str"/>
      <x:c r="M29" t="str">
        <x:v>OT préventif synthétique</x:v>
      </x:c>
    </x:row>
    <x:row r="30" ht="23" customHeight="1">
      <x:c r="A30" t="str">
        <x:v>OT-5029</x:v>
      </x:c>
      <x:c r="B30" t="str">
        <x:v>2025-04-20</x:v>
      </x:c>
      <x:c r="C30" t="str">
        <x:v>E09</x:v>
      </x:c>
      <x:c r="D30" t="str">
        <x:v>VS-901</x:v>
      </x:c>
      <x:c r="E30" t="str">
        <x:v>Hydraulique</x:v>
      </x:c>
      <x:c r="F30" t="str">
        <x:v>VERT</x:v>
      </x:c>
      <x:c r="G30" t="str">
        <x:v>Préventif planifié</x:v>
      </x:c>
      <x:c r="H30" t="str">
        <x:v>Inspection / graissage</x:v>
      </x:c>
      <x:c r="I30" t="str">
        <x:v>RAS ou réglage préventif</x:v>
      </x:c>
      <x:c r="J30" t="n">
        <x:v>1</x:v>
      </x:c>
      <x:c r="K30" t="str">
        <x:v>Clôturé</x:v>
      </x:c>
      <x:c r="L30" t="str"/>
      <x:c r="M30" t="str">
        <x:v>OT préventif synthétique</x:v>
      </x:c>
    </x:row>
    <x:row r="31" ht="23" customHeight="1">
      <x:c r="A31" t="str">
        <x:v>OT-5030</x:v>
      </x:c>
      <x:c r="B31" t="str">
        <x:v>2025-05-15</x:v>
      </x:c>
      <x:c r="C31" t="str">
        <x:v>E02</x:v>
      </x:c>
      <x:c r="D31" t="str">
        <x:v>PH-204</x:v>
      </x:c>
      <x:c r="E31" t="str">
        <x:v>Hydraulique</x:v>
      </x:c>
      <x:c r="F31" t="str">
        <x:v>VERT</x:v>
      </x:c>
      <x:c r="G31" t="str">
        <x:v>Préventif planifié</x:v>
      </x:c>
      <x:c r="H31" t="str">
        <x:v>Inspection / graissage</x:v>
      </x:c>
      <x:c r="I31" t="str">
        <x:v>RAS ou réglage préventif</x:v>
      </x:c>
      <x:c r="J31" t="n">
        <x:v>3</x:v>
      </x:c>
      <x:c r="K31" t="str">
        <x:v>Clôturé</x:v>
      </x:c>
      <x:c r="L31" t="str"/>
      <x:c r="M31" t="str">
        <x:v>OT préventif synthétique</x:v>
      </x:c>
    </x:row>
    <x:row r="32" ht="23" customHeight="1">
      <x:c r="A32" t="str">
        <x:v>OT-5031</x:v>
      </x:c>
      <x:c r="B32" t="str">
        <x:v>2025-06-09</x:v>
      </x:c>
      <x:c r="C32" t="str">
        <x:v>E07</x:v>
      </x:c>
      <x:c r="D32" t="str">
        <x:v>GL-710</x:v>
      </x:c>
      <x:c r="E32" t="str">
        <x:v>Lubrification</x:v>
      </x:c>
      <x:c r="F32" t="str">
        <x:v>VERT</x:v>
      </x:c>
      <x:c r="G32" t="str">
        <x:v>Préventif planifié</x:v>
      </x:c>
      <x:c r="H32" t="str">
        <x:v>Inspection / graissage</x:v>
      </x:c>
      <x:c r="I32" t="str">
        <x:v>RAS ou réglage préventif</x:v>
      </x:c>
      <x:c r="J32" t="n">
        <x:v>1</x:v>
      </x:c>
      <x:c r="K32" t="str">
        <x:v>Clôturé</x:v>
      </x:c>
      <x:c r="L32" t="str"/>
      <x:c r="M32" t="str">
        <x:v>OT préventif synthétique</x:v>
      </x:c>
    </x:row>
    <x:row r="33" ht="23" customHeight="1">
      <x:c r="A33" t="str">
        <x:v>OT-5032</x:v>
      </x:c>
      <x:c r="B33" t="str">
        <x:v>2025-07-04</x:v>
      </x:c>
      <x:c r="C33" t="str">
        <x:v>E12</x:v>
      </x:c>
      <x:c r="D33" t="str">
        <x:v>AA-330</x:v>
      </x:c>
      <x:c r="E33" t="str">
        <x:v>Automatisme</x:v>
      </x:c>
      <x:c r="F33" t="str">
        <x:v>VERT</x:v>
      </x:c>
      <x:c r="G33" t="str">
        <x:v>Préventif planifié</x:v>
      </x:c>
      <x:c r="H33" t="str">
        <x:v>Inspection / graissage</x:v>
      </x:c>
      <x:c r="I33" t="str">
        <x:v>RAS ou réglage préventif</x:v>
      </x:c>
      <x:c r="J33" t="n">
        <x:v>3</x:v>
      </x:c>
      <x:c r="K33" t="str">
        <x:v>Clôturé</x:v>
      </x:c>
      <x:c r="L33" t="str"/>
      <x:c r="M33" t="str">
        <x:v>OT préventif synthétique</x:v>
      </x:c>
    </x:row>
    <x:row r="34" ht="23" customHeight="1">
      <x:c r="A34" t="str">
        <x:v>OT-5033</x:v>
      </x:c>
      <x:c r="B34" t="str">
        <x:v>2025-07-29</x:v>
      </x:c>
      <x:c r="C34" t="str">
        <x:v>E05</x:v>
      </x:c>
      <x:c r="D34" t="str">
        <x:v>VR-509</x:v>
      </x:c>
      <x:c r="E34" t="str">
        <x:v>Fluides</x:v>
      </x:c>
      <x:c r="F34" t="str">
        <x:v>VERT</x:v>
      </x:c>
      <x:c r="G34" t="str">
        <x:v>Préventif planifié</x:v>
      </x:c>
      <x:c r="H34" t="str">
        <x:v>Inspection / graissage</x:v>
      </x:c>
      <x:c r="I34" t="str">
        <x:v>RAS ou réglage préventif</x:v>
      </x:c>
      <x:c r="J34" t="n">
        <x:v>2</x:v>
      </x:c>
      <x:c r="K34" t="str">
        <x:v>Clôturé</x:v>
      </x:c>
      <x:c r="L34" t="str"/>
      <x:c r="M34" t="str">
        <x:v>OT préventif synthétique</x:v>
      </x:c>
    </x:row>
    <x:row r="35" ht="23" customHeight="1">
      <x:c r="A35" t="str">
        <x:v>OT-5034</x:v>
      </x:c>
      <x:c r="B35" t="str">
        <x:v>2025-08-23</x:v>
      </x:c>
      <x:c r="C35" t="str">
        <x:v>E10</x:v>
      </x:c>
      <x:c r="D35" t="str">
        <x:v>CS-102</x:v>
      </x:c>
      <x:c r="E35" t="str">
        <x:v>Transport</x:v>
      </x:c>
      <x:c r="F35" t="str">
        <x:v>VERT</x:v>
      </x:c>
      <x:c r="G35" t="str">
        <x:v>Préventif planifié</x:v>
      </x:c>
      <x:c r="H35" t="str">
        <x:v>Inspection / graissage</x:v>
      </x:c>
      <x:c r="I35" t="str">
        <x:v>RAS ou réglage préventif</x:v>
      </x:c>
      <x:c r="J35" t="n">
        <x:v>1</x:v>
      </x:c>
      <x:c r="K35" t="str">
        <x:v>Clôturé</x:v>
      </x:c>
      <x:c r="L35" t="str"/>
      <x:c r="M35" t="str">
        <x:v>OT préventif synthétique</x:v>
      </x:c>
    </x:row>
    <x:row r="36" ht="23" customHeight="1">
      <x:c r="A36" t="str">
        <x:v>OT-5035</x:v>
      </x:c>
      <x:c r="B36" t="str">
        <x:v>2025-09-17</x:v>
      </x:c>
      <x:c r="C36" t="str">
        <x:v>E03</x:v>
      </x:c>
      <x:c r="D36" t="str">
        <x:v>VF-302</x:v>
      </x:c>
      <x:c r="E36" t="str">
        <x:v>Ventilation</x:v>
      </x:c>
      <x:c r="F36" t="str">
        <x:v>VERT</x:v>
      </x:c>
      <x:c r="G36" t="str">
        <x:v>Préventif planifié</x:v>
      </x:c>
      <x:c r="H36" t="str">
        <x:v>Inspection / graissage</x:v>
      </x:c>
      <x:c r="I36" t="str">
        <x:v>RAS ou réglage préventif</x:v>
      </x:c>
      <x:c r="J36" t="n">
        <x:v>2</x:v>
      </x:c>
      <x:c r="K36" t="str">
        <x:v>Clôturé</x:v>
      </x:c>
      <x:c r="L36" t="str"/>
      <x:c r="M36" t="str">
        <x:v>OT préventif synthétique</x:v>
      </x:c>
    </x:row>
    <x:row r="37" ht="23" customHeight="1">
      <x:c r="A37" t="str">
        <x:v>OT-5036</x:v>
      </x:c>
      <x:c r="B37" t="str">
        <x:v>2025-10-12</x:v>
      </x:c>
      <x:c r="C37" t="str">
        <x:v>E08</x:v>
      </x:c>
      <x:c r="D37" t="str">
        <x:v>PE-802</x:v>
      </x:c>
      <x:c r="E37" t="str">
        <x:v>Fluides</x:v>
      </x:c>
      <x:c r="F37" t="str">
        <x:v>VERT</x:v>
      </x:c>
      <x:c r="G37" t="str">
        <x:v>Préventif planifié</x:v>
      </x:c>
      <x:c r="H37" t="str">
        <x:v>Inspection / graissage</x:v>
      </x:c>
      <x:c r="I37" t="str">
        <x:v>RAS ou réglage préventif</x:v>
      </x:c>
      <x:c r="J37" t="n">
        <x:v>2</x:v>
      </x:c>
      <x:c r="K37" t="str">
        <x:v>Clôturé</x:v>
      </x:c>
      <x:c r="L37" t="str"/>
      <x:c r="M37" t="str">
        <x:v>OT préventif synthétique</x:v>
      </x:c>
    </x:row>
    <x:row r="38" ht="23" customHeight="1">
      <x:c r="A38" t="str">
        <x:v>OT-5037</x:v>
      </x:c>
      <x:c r="B38" t="str">
        <x:v>2025-01-18</x:v>
      </x:c>
      <x:c r="C38" t="str">
        <x:v>E01</x:v>
      </x:c>
      <x:c r="D38" t="str">
        <x:v>CV-101</x:v>
      </x:c>
      <x:c r="E38" t="str">
        <x:v>Transmission</x:v>
      </x:c>
      <x:c r="F38" t="str">
        <x:v>ROUGE</x:v>
      </x:c>
      <x:c r="G38" t="str">
        <x:v>Correctif urgent</x:v>
      </x:c>
      <x:c r="H38" t="str">
        <x:v>Bruit métallique et blocage</x:v>
      </x:c>
      <x:c r="I38" t="str">
        <x:v>Usure transmission</x:v>
      </x:c>
      <x:c r="J38" t="n">
        <x:v>10</x:v>
      </x:c>
      <x:c r="K38" t="str">
        <x:v>Clôturé</x:v>
      </x:c>
      <x:c r="L38" t="str"/>
      <x:c r="M38" t="str">
        <x:v>Panne sans Avis précurseur identifié</x:v>
      </x:c>
    </x:row>
    <x:row r="39" ht="23" customHeight="1">
      <x:c r="A39" t="str">
        <x:v>OT-5038</x:v>
      </x:c>
      <x:c r="B39" t="str">
        <x:v>2025-02-13</x:v>
      </x:c>
      <x:c r="C39" t="str">
        <x:v>E12</x:v>
      </x:c>
      <x:c r="D39" t="str">
        <x:v>AA-330</x:v>
      </x:c>
      <x:c r="E39" t="str">
        <x:v>Automatisme</x:v>
      </x:c>
      <x:c r="F39" t="str">
        <x:v>ROUGE</x:v>
      </x:c>
      <x:c r="G39" t="str">
        <x:v>Correctif urgent</x:v>
      </x:c>
      <x:c r="H39" t="str">
        <x:v>Surchauffe et déclenchement</x:v>
      </x:c>
      <x:c r="I39" t="str">
        <x:v>Refroidissement dégradé</x:v>
      </x:c>
      <x:c r="J39" t="n">
        <x:v>6</x:v>
      </x:c>
      <x:c r="K39" t="str">
        <x:v>Clôturé</x:v>
      </x:c>
      <x:c r="L39" t="str"/>
      <x:c r="M39" t="str">
        <x:v>Panne sans Avis précurseur identifié</x:v>
      </x:c>
    </x:row>
    <x:row r="40" ht="23" customHeight="1">
      <x:c r="A40" t="str">
        <x:v>OT-5039</x:v>
      </x:c>
      <x:c r="B40" t="str">
        <x:v>2025-03-11</x:v>
      </x:c>
      <x:c r="C40" t="str">
        <x:v>E11</x:v>
      </x:c>
      <x:c r="D40" t="str">
        <x:v>CA-220</x:v>
      </x:c>
      <x:c r="E40" t="str">
        <x:v>Air comprimé</x:v>
      </x:c>
      <x:c r="F40" t="str">
        <x:v>ROUGE</x:v>
      </x:c>
      <x:c r="G40" t="str">
        <x:v>Correctif urgent</x:v>
      </x:c>
      <x:c r="H40" t="str">
        <x:v>Perte de pression et arrêt</x:v>
      </x:c>
      <x:c r="I40" t="str">
        <x:v>Fuite interne</x:v>
      </x:c>
      <x:c r="J40" t="n">
        <x:v>10</x:v>
      </x:c>
      <x:c r="K40" t="str">
        <x:v>Clôturé</x:v>
      </x:c>
      <x:c r="L40" t="str"/>
      <x:c r="M40" t="str">
        <x:v>Panne sans Avis précurseur identifié</x:v>
      </x:c>
    </x:row>
    <x:row r="41" ht="23" customHeight="1">
      <x:c r="A41" t="str">
        <x:v>OT-5040</x:v>
      </x:c>
      <x:c r="B41" t="str">
        <x:v>2025-04-06</x:v>
      </x:c>
      <x:c r="C41" t="str">
        <x:v>E10</x:v>
      </x:c>
      <x:c r="D41" t="str">
        <x:v>CS-102</x:v>
      </x:c>
      <x:c r="E41" t="str">
        <x:v>Transport</x:v>
      </x:c>
      <x:c r="F41" t="str">
        <x:v>ROUGE</x:v>
      </x:c>
      <x:c r="G41" t="str">
        <x:v>Correctif urgent</x:v>
      </x:c>
      <x:c r="H41" t="str">
        <x:v>Défaut permanent et arrêt</x:v>
      </x:c>
      <x:c r="I41" t="str">
        <x:v>Connectique dégradée</x:v>
      </x:c>
      <x:c r="J41" t="n">
        <x:v>6</x:v>
      </x:c>
      <x:c r="K41" t="str">
        <x:v>Clôturé</x:v>
      </x:c>
      <x:c r="L41" t="str"/>
      <x:c r="M41" t="str">
        <x:v>Panne sans Avis précurseur identifié</x:v>
      </x:c>
    </x:row>
    <x:row r="42" ht="23" customHeight="1">
      <x:c r="A42" t="str">
        <x:v>OT-5041</x:v>
      </x:c>
      <x:c r="B42" t="str">
        <x:v>2025-05-02</x:v>
      </x:c>
      <x:c r="C42" t="str">
        <x:v>E09</x:v>
      </x:c>
      <x:c r="D42" t="str">
        <x:v>VS-901</x:v>
      </x:c>
      <x:c r="E42" t="str">
        <x:v>Hydraulique</x:v>
      </x:c>
      <x:c r="F42" t="str">
        <x:v>ROUGE</x:v>
      </x:c>
      <x:c r="G42" t="str">
        <x:v>Correctif urgent</x:v>
      </x:c>
      <x:c r="H42" t="str">
        <x:v>Débit nul et arrêt</x:v>
      </x:c>
      <x:c r="I42" t="str">
        <x:v>Colmatage</x:v>
      </x:c>
      <x:c r="J42" t="n">
        <x:v>10</x:v>
      </x:c>
      <x:c r="K42" t="str">
        <x:v>Clôturé</x:v>
      </x:c>
      <x:c r="L42" t="str"/>
      <x:c r="M42" t="str">
        <x:v>Panne sans Avis précurseur identifié</x:v>
      </x:c>
    </x:row>
    <x:row r="43" ht="23" customHeight="1">
      <x:c r="A43" t="str">
        <x:v>OT-5042</x:v>
      </x:c>
      <x:c r="B43" t="str">
        <x:v>2025-05-28</x:v>
      </x:c>
      <x:c r="C43" t="str">
        <x:v>E08</x:v>
      </x:c>
      <x:c r="D43" t="str">
        <x:v>PE-802</x:v>
      </x:c>
      <x:c r="E43" t="str">
        <x:v>Fluides</x:v>
      </x:c>
      <x:c r="F43" t="str">
        <x:v>ROUGE</x:v>
      </x:c>
      <x:c r="G43" t="str">
        <x:v>Correctif urgent</x:v>
      </x:c>
      <x:c r="H43" t="str">
        <x:v>Rupture mécanique et arrêt</x:v>
      </x:c>
      <x:c r="I43" t="str">
        <x:v>Desserrage progressif</x:v>
      </x:c>
      <x:c r="J43" t="n">
        <x:v>2</x:v>
      </x:c>
      <x:c r="K43" t="str">
        <x:v>Clôturé</x:v>
      </x:c>
      <x:c r="L43" t="str"/>
      <x:c r="M43" t="str">
        <x:v>Panne sans Avis précurseur identifié</x:v>
      </x:c>
    </x:row>
    <x:row r="44" ht="23" customHeight="1">
      <x:c r="A44" t="str">
        <x:v>OT-5043</x:v>
      </x:c>
      <x:c r="B44" t="str">
        <x:v>2025-06-23</x:v>
      </x:c>
      <x:c r="C44" t="str">
        <x:v>E07</x:v>
      </x:c>
      <x:c r="D44" t="str">
        <x:v>GL-710</x:v>
      </x:c>
      <x:c r="E44" t="str">
        <x:v>Lubrification</x:v>
      </x:c>
      <x:c r="F44" t="str">
        <x:v>ROUGE</x:v>
      </x:c>
      <x:c r="G44" t="str">
        <x:v>Correctif urgent</x:v>
      </x:c>
      <x:c r="H44" t="str">
        <x:v>Perte de pression et échauffement</x:v>
      </x:c>
      <x:c r="I44" t="str">
        <x:v>Joint usé / lubrification insuffisante</x:v>
      </x:c>
      <x:c r="J44" t="n">
        <x:v>10</x:v>
      </x:c>
      <x:c r="K44" t="str">
        <x:v>Clôturé</x:v>
      </x:c>
      <x:c r="L44" t="str"/>
      <x:c r="M44" t="str">
        <x:v>Panne sans Avis précurseur identifié</x:v>
      </x:c>
    </x:row>
    <x:row r="45" ht="23" customHeight="1">
      <x:c r="A45" t="str">
        <x:v>OT-5044</x:v>
      </x:c>
      <x:c r="B45" t="str">
        <x:v>2025-07-19</x:v>
      </x:c>
      <x:c r="C45" t="str">
        <x:v>E06</x:v>
      </x:c>
      <x:c r="D45" t="str">
        <x:v>CP-615</x:v>
      </x:c>
      <x:c r="E45" t="str">
        <x:v>Instrumentation</x:v>
      </x:c>
      <x:c r="F45" t="str">
        <x:v>ROUGE</x:v>
      </x:c>
      <x:c r="G45" t="str">
        <x:v>Correctif urgent</x:v>
      </x:c>
      <x:c r="H45" t="str">
        <x:v>Vibration forte et arrêt</x:v>
      </x:c>
      <x:c r="I45" t="str">
        <x:v>Roulement dégradé</x:v>
      </x:c>
      <x:c r="J45" t="n">
        <x:v>6</x:v>
      </x:c>
      <x:c r="K45" t="str">
        <x:v>Clôturé</x:v>
      </x:c>
      <x:c r="L45" t="str"/>
      <x:c r="M45" t="str">
        <x:v>Panne sans Avis précurseur identifié</x:v>
      </x:c>
    </x:row>
    <x:row r="46" ht="23" customHeight="1">
      <x:c r="A46" t="str">
        <x:v>OT-5045</x:v>
      </x:c>
      <x:c r="B46" t="str">
        <x:v>2025-08-14</x:v>
      </x:c>
      <x:c r="C46" t="str">
        <x:v>E05</x:v>
      </x:c>
      <x:c r="D46" t="str">
        <x:v>VR-509</x:v>
      </x:c>
      <x:c r="E46" t="str">
        <x:v>Fluides</x:v>
      </x:c>
      <x:c r="F46" t="str">
        <x:v>ROUGE</x:v>
      </x:c>
      <x:c r="G46" t="str">
        <x:v>Correctif urgent</x:v>
      </x:c>
      <x:c r="H46" t="str">
        <x:v>Bruit métallique et blocage</x:v>
      </x:c>
      <x:c r="I46" t="str">
        <x:v>Usure transmission</x:v>
      </x:c>
      <x:c r="J46" t="n">
        <x:v>2</x:v>
      </x:c>
      <x:c r="K46" t="str">
        <x:v>Clôturé</x:v>
      </x:c>
      <x:c r="L46" t="str"/>
      <x:c r="M46" t="str">
        <x:v>Panne sans Avis précurseur identifié</x:v>
      </x:c>
    </x:row>
    <x:row r="47" ht="23" customHeight="1">
      <x:c r="A47" t="str">
        <x:v>OT-5046</x:v>
      </x:c>
      <x:c r="B47" t="str">
        <x:v>2025-09-09</x:v>
      </x:c>
      <x:c r="C47" t="str">
        <x:v>E04</x:v>
      </x:c>
      <x:c r="D47" t="str">
        <x:v>MT-411</x:v>
      </x:c>
      <x:c r="E47" t="str">
        <x:v>Motorisation</x:v>
      </x:c>
      <x:c r="F47" t="str">
        <x:v>ROUGE</x:v>
      </x:c>
      <x:c r="G47" t="str">
        <x:v>Correctif urgent</x:v>
      </x:c>
      <x:c r="H47" t="str">
        <x:v>Surchauffe et déclenchement</x:v>
      </x:c>
      <x:c r="I47" t="str">
        <x:v>Refroidissement dégradé</x:v>
      </x:c>
      <x:c r="J47" t="n">
        <x:v>2</x:v>
      </x:c>
      <x:c r="K47" t="str">
        <x:v>Clôturé</x:v>
      </x:c>
      <x:c r="L47" t="str"/>
      <x:c r="M47" t="str">
        <x:v>Panne sans Avis précurseur identifié</x:v>
      </x:c>
    </x:row>
    <x:row r="48" ht="23" customHeight="1">
      <x:c r="A48" t="str">
        <x:v>OT-5047</x:v>
      </x:c>
      <x:c r="B48" t="str">
        <x:v>2025-10-05</x:v>
      </x:c>
      <x:c r="C48" t="str">
        <x:v>E03</x:v>
      </x:c>
      <x:c r="D48" t="str">
        <x:v>VF-302</x:v>
      </x:c>
      <x:c r="E48" t="str">
        <x:v>Ventilation</x:v>
      </x:c>
      <x:c r="F48" t="str">
        <x:v>ROUGE</x:v>
      </x:c>
      <x:c r="G48" t="str">
        <x:v>Correctif urgent</x:v>
      </x:c>
      <x:c r="H48" t="str">
        <x:v>Perte de pression et arrêt</x:v>
      </x:c>
      <x:c r="I48" t="str">
        <x:v>Fuite interne</x:v>
      </x:c>
      <x:c r="J48" t="n">
        <x:v>6</x:v>
      </x:c>
      <x:c r="K48" t="str">
        <x:v>Clôturé</x:v>
      </x:c>
      <x:c r="L48" t="str"/>
      <x:c r="M48" t="str">
        <x:v>Panne sans Avis précurseur identifié</x:v>
      </x:c>
    </x:row>
    <x:row r="49" ht="23" customHeight="1">
      <x:c r="A49" t="str">
        <x:v>OT-5048</x:v>
      </x:c>
      <x:c r="B49" t="str">
        <x:v>2025-10-31</x:v>
      </x:c>
      <x:c r="C49" t="str">
        <x:v>E02</x:v>
      </x:c>
      <x:c r="D49" t="str">
        <x:v>PH-204</x:v>
      </x:c>
      <x:c r="E49" t="str">
        <x:v>Hydraulique</x:v>
      </x:c>
      <x:c r="F49" t="str">
        <x:v>ROUGE</x:v>
      </x:c>
      <x:c r="G49" t="str">
        <x:v>Correctif urgent</x:v>
      </x:c>
      <x:c r="H49" t="str">
        <x:v>Défaut permanent et arrêt</x:v>
      </x:c>
      <x:c r="I49" t="str">
        <x:v>Connectique dégradée</x:v>
      </x:c>
      <x:c r="J49" t="n">
        <x:v>6</x:v>
      </x:c>
      <x:c r="K49" t="str">
        <x:v>Clôturé</x:v>
      </x:c>
      <x:c r="L49" t="str"/>
      <x:c r="M49" t="str">
        <x:v>Panne sans Avis précurseur identifié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1" hidden="0" customWidth="1"/>
    <x:col min="4" max="4" width="22" hidden="0" customWidth="1"/>
    <x:col min="5" max="5" width="24" hidden="0" customWidth="1"/>
    <x:col min="6" max="6" width="35" hidden="0" customWidth="1"/>
    <x:col min="7" max="7" width="32" hidden="0" customWidth="1"/>
    <x:col min="8" max="8" width="29" hidden="0" customWidth="1"/>
    <x:col min="9" max="9" width="53" hidden="0" customWidth="1"/>
  </x:cols>
  <x:sheetData>
    <x:row r="1" ht="34" customHeight="1">
      <x:c r="A1" s="5" t="str">
        <x:v>ID lien</x:v>
      </x:c>
      <x:c r="B1" s="5" t="str">
        <x:v>Avis jaune antérieur</x:v>
      </x:c>
      <x:c r="C1" s="5" t="str">
        <x:v>OT rouge ultérieur</x:v>
      </x:c>
      <x:c r="D1" s="5" t="str">
        <x:v>ID équipement Avis</x:v>
      </x:c>
      <x:c r="E1" s="5" t="str">
        <x:v>Délai Avis → OT (j)</x:v>
      </x:c>
      <x:c r="F1" s="5" t="str">
        <x:v>Correspondance</x:v>
      </x:c>
      <x:c r="G1" s="5" t="str">
        <x:v>Motif de rapprochement</x:v>
      </x:c>
      <x:c r="H1" s="5" t="str">
        <x:v>Statut expertise (fictif)</x:v>
      </x:c>
      <x:c r="I1" s="5" t="str">
        <x:v>Précaution</x:v>
      </x:c>
    </x:row>
    <x:row r="2" ht="23" customHeight="1">
      <x:c r="A2" t="str">
        <x:v>L-001</x:v>
      </x:c>
      <x:c r="B2" t="str">
        <x:v>AV-1001</x:v>
      </x:c>
      <x:c r="C2" t="str">
        <x:v>OT-5001</x:v>
      </x:c>
      <x:c r="D2" t="str">
        <x:v>E01</x:v>
      </x:c>
      <x:c r="E2" t="n">
        <x:v>8</x:v>
      </x:c>
      <x:c r="F2" t="str">
        <x:v>Même équipement</x:v>
      </x:c>
      <x:c r="G2" t="str">
        <x:v>Symptômes incertains</x:v>
      </x:c>
      <x:c r="H2" t="str">
        <x:v>Lien validé fictivement</x:v>
      </x:c>
      <x:c r="I2" t="str">
        <x:v>Ne pas assimiler proximité à causalité</x:v>
      </x:c>
    </x:row>
    <x:row r="3" ht="23" customHeight="1">
      <x:c r="A3" t="str">
        <x:v>L-002</x:v>
      </x:c>
      <x:c r="B3" t="str">
        <x:v>AV-1002</x:v>
      </x:c>
      <x:c r="C3" t="str">
        <x:v>OT-5002</x:v>
      </x:c>
      <x:c r="D3" t="str">
        <x:v>E02</x:v>
      </x:c>
      <x:c r="E3" t="n">
        <x:v>55</x:v>
      </x:c>
      <x:c r="F3" t="str">
        <x:v>Même équipement</x:v>
      </x:c>
      <x:c r="G3" t="str">
        <x:v>Similarité symptôme</x:v>
      </x:c>
      <x:c r="H3" t="str">
        <x:v>Hypothèse à expertiser</x:v>
      </x:c>
      <x:c r="I3" t="str">
        <x:v>Ne pas assimiler proximité à causalité</x:v>
      </x:c>
    </x:row>
    <x:row r="4" ht="23" customHeight="1">
      <x:c r="A4" t="str">
        <x:v>L-003</x:v>
      </x:c>
      <x:c r="B4" t="str">
        <x:v>AV-1003</x:v>
      </x:c>
      <x:c r="C4" t="str">
        <x:v>OT-5003</x:v>
      </x:c>
      <x:c r="D4" t="str">
        <x:v>E03</x:v>
      </x:c>
      <x:c r="E4" t="n">
        <x:v>35</x:v>
      </x:c>
      <x:c r="F4" t="str">
        <x:v>Même équipement</x:v>
      </x:c>
      <x:c r="G4" t="str">
        <x:v>Similarité symptôme</x:v>
      </x:c>
      <x:c r="H4" t="str">
        <x:v>Hypothèse à expertiser</x:v>
      </x:c>
      <x:c r="I4" t="str">
        <x:v>Ne pas assimiler proximité à causalité</x:v>
      </x:c>
    </x:row>
    <x:row r="5" ht="23" customHeight="1">
      <x:c r="A5" t="str">
        <x:v>L-004</x:v>
      </x:c>
      <x:c r="B5" t="str">
        <x:v>AV-1004</x:v>
      </x:c>
      <x:c r="C5" t="str">
        <x:v>OT-5004</x:v>
      </x:c>
      <x:c r="D5" t="str">
        <x:v>E04</x:v>
      </x:c>
      <x:c r="E5" t="n">
        <x:v>35</x:v>
      </x:c>
      <x:c r="F5" t="str">
        <x:v>Même équipement</x:v>
      </x:c>
      <x:c r="G5" t="str">
        <x:v>Similarité symptôme</x:v>
      </x:c>
      <x:c r="H5" t="str">
        <x:v>Lien validé fictivement</x:v>
      </x:c>
      <x:c r="I5" t="str">
        <x:v>Ne pas assimiler proximité à causalité</x:v>
      </x:c>
    </x:row>
    <x:row r="6" ht="23" customHeight="1">
      <x:c r="A6" t="str">
        <x:v>L-005</x:v>
      </x:c>
      <x:c r="B6" t="str">
        <x:v>AV-1005</x:v>
      </x:c>
      <x:c r="C6" t="str">
        <x:v>OT-5005</x:v>
      </x:c>
      <x:c r="D6" t="str">
        <x:v>E05</x:v>
      </x:c>
      <x:c r="E6" t="n">
        <x:v>21</x:v>
      </x:c>
      <x:c r="F6" t="str">
        <x:v>Même équipement</x:v>
      </x:c>
      <x:c r="G6" t="str">
        <x:v>Similarité symptôme</x:v>
      </x:c>
      <x:c r="H6" t="str">
        <x:v>Hypothèse à expertiser</x:v>
      </x:c>
      <x:c r="I6" t="str">
        <x:v>Ne pas assimiler proximité à causalité</x:v>
      </x:c>
    </x:row>
    <x:row r="7" ht="23" customHeight="1">
      <x:c r="A7" t="str">
        <x:v>L-006</x:v>
      </x:c>
      <x:c r="B7" t="str">
        <x:v>AV-1006</x:v>
      </x:c>
      <x:c r="C7" t="str">
        <x:v>OT-5006</x:v>
      </x:c>
      <x:c r="D7" t="str">
        <x:v>E06</x:v>
      </x:c>
      <x:c r="E7" t="n">
        <x:v>21</x:v>
      </x:c>
      <x:c r="F7" t="str">
        <x:v>Même équipement</x:v>
      </x:c>
      <x:c r="G7" t="str">
        <x:v>Symptômes incertains</x:v>
      </x:c>
      <x:c r="H7" t="str">
        <x:v>Hypothèse à expertiser</x:v>
      </x:c>
      <x:c r="I7" t="str">
        <x:v>Ne pas assimiler proximité à causalité</x:v>
      </x:c>
    </x:row>
    <x:row r="8" ht="23" customHeight="1">
      <x:c r="A8" t="str">
        <x:v>L-007</x:v>
      </x:c>
      <x:c r="B8" t="str">
        <x:v>AV-1007</x:v>
      </x:c>
      <x:c r="C8" t="str">
        <x:v>OT-5007</x:v>
      </x:c>
      <x:c r="D8" t="str">
        <x:v>E07</x:v>
      </x:c>
      <x:c r="E8" t="n">
        <x:v>55</x:v>
      </x:c>
      <x:c r="F8" t="str">
        <x:v>Même équipement</x:v>
      </x:c>
      <x:c r="G8" t="str">
        <x:v>Similarité symptôme</x:v>
      </x:c>
      <x:c r="H8" t="str">
        <x:v>Lien validé fictivement</x:v>
      </x:c>
      <x:c r="I8" t="str">
        <x:v>Ne pas assimiler proximité à causalité</x:v>
      </x:c>
    </x:row>
    <x:row r="9" ht="23" customHeight="1">
      <x:c r="A9" t="str">
        <x:v>L-008</x:v>
      </x:c>
      <x:c r="B9" t="str">
        <x:v>AV-1008</x:v>
      </x:c>
      <x:c r="C9" t="str">
        <x:v>OT-5008</x:v>
      </x:c>
      <x:c r="D9" t="str">
        <x:v>E08</x:v>
      </x:c>
      <x:c r="E9" t="n">
        <x:v>8</x:v>
      </x:c>
      <x:c r="F9" t="str">
        <x:v>Même équipement</x:v>
      </x:c>
      <x:c r="G9" t="str">
        <x:v>Similarité symptôme</x:v>
      </x:c>
      <x:c r="H9" t="str">
        <x:v>Hypothèse à expertiser</x:v>
      </x:c>
      <x:c r="I9" t="str">
        <x:v>Ne pas assimiler proximité à causalité</x:v>
      </x:c>
    </x:row>
    <x:row r="10" ht="23" customHeight="1">
      <x:c r="A10" t="str">
        <x:v>L-009</x:v>
      </x:c>
      <x:c r="B10" t="str">
        <x:v>AV-1009</x:v>
      </x:c>
      <x:c r="C10" t="str">
        <x:v>OT-5009</x:v>
      </x:c>
      <x:c r="D10" t="str">
        <x:v>E09</x:v>
      </x:c>
      <x:c r="E10" t="n">
        <x:v>21</x:v>
      </x:c>
      <x:c r="F10" t="str">
        <x:v>Même équipement</x:v>
      </x:c>
      <x:c r="G10" t="str">
        <x:v>Similarité symptôme</x:v>
      </x:c>
      <x:c r="H10" t="str">
        <x:v>Hypothèse à expertiser</x:v>
      </x:c>
      <x:c r="I10" t="str">
        <x:v>Ne pas assimiler proximité à causalité</x:v>
      </x:c>
    </x:row>
    <x:row r="11" ht="23" customHeight="1">
      <x:c r="A11" t="str">
        <x:v>L-010</x:v>
      </x:c>
      <x:c r="B11" t="str">
        <x:v>AV-1010</x:v>
      </x:c>
      <x:c r="C11" t="str">
        <x:v>OT-5010</x:v>
      </x:c>
      <x:c r="D11" t="str">
        <x:v>E10</x:v>
      </x:c>
      <x:c r="E11" t="n">
        <x:v>14</x:v>
      </x:c>
      <x:c r="F11" t="str">
        <x:v>Même équipement</x:v>
      </x:c>
      <x:c r="G11" t="str">
        <x:v>Similarité symptôme</x:v>
      </x:c>
      <x:c r="H11" t="str">
        <x:v>Lien validé fictivement</x:v>
      </x:c>
      <x:c r="I11" t="str">
        <x:v>Ne pas assimiler proximité à causalité</x:v>
      </x:c>
    </x:row>
    <x:row r="12" ht="23" customHeight="1">
      <x:c r="A12" t="str">
        <x:v>L-011</x:v>
      </x:c>
      <x:c r="B12" t="str">
        <x:v>AV-1011</x:v>
      </x:c>
      <x:c r="C12" t="str">
        <x:v>OT-5011</x:v>
      </x:c>
      <x:c r="D12" t="str">
        <x:v>E11</x:v>
      </x:c>
      <x:c r="E12" t="n">
        <x:v>55</x:v>
      </x:c>
      <x:c r="F12" t="str">
        <x:v>Même équipement</x:v>
      </x:c>
      <x:c r="G12" t="str">
        <x:v>Symptômes incertains</x:v>
      </x:c>
      <x:c r="H12" t="str">
        <x:v>Hypothèse à expertiser</x:v>
      </x:c>
      <x:c r="I12" t="str">
        <x:v>Ne pas assimiler proximité à causalité</x:v>
      </x:c>
    </x:row>
    <x:row r="13" ht="23" customHeight="1">
      <x:c r="A13" t="str">
        <x:v>L-012</x:v>
      </x:c>
      <x:c r="B13" t="str">
        <x:v>AV-1012</x:v>
      </x:c>
      <x:c r="C13" t="str">
        <x:v>OT-5012</x:v>
      </x:c>
      <x:c r="D13" t="str">
        <x:v>E12</x:v>
      </x:c>
      <x:c r="E13" t="n">
        <x:v>21</x:v>
      </x:c>
      <x:c r="F13" t="str">
        <x:v>Même équipement</x:v>
      </x:c>
      <x:c r="G13" t="str">
        <x:v>Similarité symptôme</x:v>
      </x:c>
      <x:c r="H13" t="str">
        <x:v>Hypothèse à expertiser</x:v>
      </x:c>
      <x:c r="I13" t="str">
        <x:v>Ne pas assimiler proximité à causalité</x:v>
      </x:c>
    </x:row>
    <x:row r="14" ht="23" customHeight="1">
      <x:c r="A14" t="str">
        <x:v>L-013</x:v>
      </x:c>
      <x:c r="B14" t="str">
        <x:v>AV-1013</x:v>
      </x:c>
      <x:c r="C14" t="str">
        <x:v>OT-5013</x:v>
      </x:c>
      <x:c r="D14" t="str">
        <x:v>E01</x:v>
      </x:c>
      <x:c r="E14" t="n">
        <x:v>14</x:v>
      </x:c>
      <x:c r="F14" t="str">
        <x:v>Même équipement</x:v>
      </x:c>
      <x:c r="G14" t="str">
        <x:v>Similarité symptôme</x:v>
      </x:c>
      <x:c r="H14" t="str">
        <x:v>Lien validé fictivement</x:v>
      </x:c>
      <x:c r="I14" t="str">
        <x:v>Ne pas assimiler proximité à causalité</x:v>
      </x:c>
    </x:row>
    <x:row r="15" ht="23" customHeight="1">
      <x:c r="A15" t="str">
        <x:v>L-014</x:v>
      </x:c>
      <x:c r="B15" t="str">
        <x:v>AV-1014</x:v>
      </x:c>
      <x:c r="C15" t="str">
        <x:v>OT-5014</x:v>
      </x:c>
      <x:c r="D15" t="str">
        <x:v>E02</x:v>
      </x:c>
      <x:c r="E15" t="n">
        <x:v>55</x:v>
      </x:c>
      <x:c r="F15" t="str">
        <x:v>Même équipement</x:v>
      </x:c>
      <x:c r="G15" t="str">
        <x:v>Similarité symptôme</x:v>
      </x:c>
      <x:c r="H15" t="str">
        <x:v>Hypothèse à expertiser</x:v>
      </x:c>
      <x:c r="I15" t="str">
        <x:v>Ne pas assimiler proximité à causalité</x:v>
      </x:c>
    </x:row>
    <x:row r="16" ht="23" customHeight="1">
      <x:c r="A16" t="str">
        <x:v>L-015</x:v>
      </x:c>
      <x:c r="B16" t="str">
        <x:v>AV-1015</x:v>
      </x:c>
      <x:c r="C16" t="str">
        <x:v>OT-5015</x:v>
      </x:c>
      <x:c r="D16" t="str">
        <x:v>E03</x:v>
      </x:c>
      <x:c r="E16" t="n">
        <x:v>55</x:v>
      </x:c>
      <x:c r="F16" t="str">
        <x:v>Même équipement</x:v>
      </x:c>
      <x:c r="G16" t="str">
        <x:v>Similarité symptôme</x:v>
      </x:c>
      <x:c r="H16" t="str">
        <x:v>Hypothèse à expertiser</x:v>
      </x:c>
      <x:c r="I16" t="str">
        <x:v>Ne pas assimiler proximité à causalité</x:v>
      </x:c>
    </x:row>
    <x:row r="17" ht="23" customHeight="1">
      <x:c r="A17" t="str">
        <x:v>L-016</x:v>
      </x:c>
      <x:c r="B17" t="str">
        <x:v>AV-1016</x:v>
      </x:c>
      <x:c r="C17" t="str">
        <x:v>OT-5016</x:v>
      </x:c>
      <x:c r="D17" t="str">
        <x:v>E04</x:v>
      </x:c>
      <x:c r="E17" t="n">
        <x:v>55</x:v>
      </x:c>
      <x:c r="F17" t="str">
        <x:v>Même équipement</x:v>
      </x:c>
      <x:c r="G17" t="str">
        <x:v>Symptômes incertains</x:v>
      </x:c>
      <x:c r="H17" t="str">
        <x:v>Lien validé fictivement</x:v>
      </x:c>
      <x:c r="I17" t="str">
        <x:v>Ne pas assimiler proximité à causalité</x:v>
      </x:c>
    </x:row>
    <x:row r="18" ht="23" customHeight="1">
      <x:c r="A18" t="str">
        <x:v>L-017</x:v>
      </x:c>
      <x:c r="B18" t="str">
        <x:v>AV-1017</x:v>
      </x:c>
      <x:c r="C18" t="str">
        <x:v>OT-5017</x:v>
      </x:c>
      <x:c r="D18" t="str">
        <x:v>E05</x:v>
      </x:c>
      <x:c r="E18" t="n">
        <x:v>55</x:v>
      </x:c>
      <x:c r="F18" t="str">
        <x:v>Même équipement</x:v>
      </x:c>
      <x:c r="G18" t="str">
        <x:v>Similarité symptôme</x:v>
      </x:c>
      <x:c r="H18" t="str">
        <x:v>Hypothèse à expertiser</x:v>
      </x:c>
      <x:c r="I18" t="str">
        <x:v>Ne pas assimiler proximité à causalité</x:v>
      </x:c>
    </x:row>
    <x:row r="19" ht="23" customHeight="1">
      <x:c r="A19" t="str">
        <x:v>L-018</x:v>
      </x:c>
      <x:c r="B19" t="str">
        <x:v>AV-1018</x:v>
      </x:c>
      <x:c r="C19" t="str">
        <x:v>OT-5018</x:v>
      </x:c>
      <x:c r="D19" t="str">
        <x:v>E06</x:v>
      </x:c>
      <x:c r="E19" t="n">
        <x:v>14</x:v>
      </x:c>
      <x:c r="F19" t="str">
        <x:v>Même équipement</x:v>
      </x:c>
      <x:c r="G19" t="str">
        <x:v>Similarité symptôme</x:v>
      </x:c>
      <x:c r="H19" t="str">
        <x:v>Hypothèse à expertiser</x:v>
      </x:c>
      <x:c r="I19" t="str">
        <x:v>Ne pas assimiler proximité à causalité</x:v>
      </x:c>
    </x:row>
    <x:row r="20" ht="23" customHeight="1">
      <x:c r="A20" t="str">
        <x:v>L-019</x:v>
      </x:c>
      <x:c r="B20" t="str">
        <x:v>AV-1019</x:v>
      </x:c>
      <x:c r="C20" t="str">
        <x:v>OT-5019</x:v>
      </x:c>
      <x:c r="D20" t="str">
        <x:v>E07</x:v>
      </x:c>
      <x:c r="E20" t="n">
        <x:v>35</x:v>
      </x:c>
      <x:c r="F20" t="str">
        <x:v>Même équipement</x:v>
      </x:c>
      <x:c r="G20" t="str">
        <x:v>Similarité symptôme</x:v>
      </x:c>
      <x:c r="H20" t="str">
        <x:v>Lien validé fictivement</x:v>
      </x:c>
      <x:c r="I20" t="str">
        <x:v>Ne pas assimiler proximité à causalité</x:v>
      </x:c>
    </x:row>
    <x:row r="21" ht="23" customHeight="1">
      <x:c r="A21" t="str">
        <x:v>L-020</x:v>
      </x:c>
      <x:c r="B21" t="str">
        <x:v>AV-1020</x:v>
      </x:c>
      <x:c r="C21" t="str">
        <x:v>OT-5020</x:v>
      </x:c>
      <x:c r="D21" t="str">
        <x:v>E08</x:v>
      </x:c>
      <x:c r="E21" t="n">
        <x:v>14</x:v>
      </x:c>
      <x:c r="F21" t="str">
        <x:v>Même équipement</x:v>
      </x:c>
      <x:c r="G21" t="str">
        <x:v>Similarité symptôme</x:v>
      </x:c>
      <x:c r="H21" t="str">
        <x:v>Hypothèse à expertiser</x:v>
      </x:c>
      <x:c r="I21" t="str">
        <x:v>Ne pas assimiler proximité à causalité</x:v>
      </x:c>
    </x:row>
    <x:row r="22" ht="23" customHeight="1">
      <x:c r="A22" t="str">
        <x:v>L-021</x:v>
      </x:c>
      <x:c r="B22" t="str">
        <x:v>AV-1021</x:v>
      </x:c>
      <x:c r="C22" t="str">
        <x:v>OT-5021</x:v>
      </x:c>
      <x:c r="D22" t="str">
        <x:v>E09</x:v>
      </x:c>
      <x:c r="E22" t="n">
        <x:v>55</x:v>
      </x:c>
      <x:c r="F22" t="str">
        <x:v>Même équipement</x:v>
      </x:c>
      <x:c r="G22" t="str">
        <x:v>Symptômes incertains</x:v>
      </x:c>
      <x:c r="H22" t="str">
        <x:v>Hypothèse à expertiser</x:v>
      </x:c>
      <x:c r="I22" t="str">
        <x:v>Ne pas assimiler proximité à causalité</x:v>
      </x:c>
    </x:row>
    <x:row r="23" ht="23" customHeight="1">
      <x:c r="A23" t="str">
        <x:v>L-022</x:v>
      </x:c>
      <x:c r="B23" t="str">
        <x:v>AV-1022</x:v>
      </x:c>
      <x:c r="C23" t="str">
        <x:v>OT-5022</x:v>
      </x:c>
      <x:c r="D23" t="str">
        <x:v>E10</x:v>
      </x:c>
      <x:c r="E23" t="n">
        <x:v>55</x:v>
      </x:c>
      <x:c r="F23" t="str">
        <x:v>Même équipement</x:v>
      </x:c>
      <x:c r="G23" t="str">
        <x:v>Similarité symptôme</x:v>
      </x:c>
      <x:c r="H23" t="str">
        <x:v>Lien validé fictivement</x:v>
      </x:c>
      <x:c r="I23" t="str">
        <x:v>Ne pas assimiler proximité à causalité</x:v>
      </x:c>
    </x:row>
    <x:row r="24" ht="23" customHeight="1">
      <x:c r="A24" t="str">
        <x:v>L-023</x:v>
      </x:c>
      <x:c r="B24" t="str">
        <x:v>AV-1023</x:v>
      </x:c>
      <x:c r="C24" t="str">
        <x:v>OT-5023</x:v>
      </x:c>
      <x:c r="D24" t="str">
        <x:v>E11</x:v>
      </x:c>
      <x:c r="E24" t="n">
        <x:v>8</x:v>
      </x:c>
      <x:c r="F24" t="str">
        <x:v>Même équipement</x:v>
      </x:c>
      <x:c r="G24" t="str">
        <x:v>Similarité symptôme</x:v>
      </x:c>
      <x:c r="H24" t="str">
        <x:v>Hypothèse à expertiser</x:v>
      </x:c>
      <x:c r="I24" t="str">
        <x:v>Ne pas assimiler proximité à causalité</x:v>
      </x:c>
    </x:row>
    <x:row r="25" ht="23" customHeight="1">
      <x:c r="A25" t="str">
        <x:v>L-024</x:v>
      </x:c>
      <x:c r="B25" t="str">
        <x:v>AV-1024</x:v>
      </x:c>
      <x:c r="C25" t="str">
        <x:v>OT-5024</x:v>
      </x:c>
      <x:c r="D25" t="str">
        <x:v>E12</x:v>
      </x:c>
      <x:c r="E25" t="n">
        <x:v>75</x:v>
      </x:c>
      <x:c r="F25" t="str">
        <x:v>Même équipement</x:v>
      </x:c>
      <x:c r="G25" t="str">
        <x:v>Similarité symptôme</x:v>
      </x:c>
      <x:c r="H25" t="str">
        <x:v>Hypothèse à expertiser</x:v>
      </x:c>
      <x:c r="I25" t="str">
        <x:v>Ne pas assimiler proximité à causalité</x:v>
      </x:c>
    </x:row>
    <x:row r="26" ht="23" customHeight="1">
      <x:c r="A26" t="str">
        <x:v>L-025</x:v>
      </x:c>
      <x:c r="B26" t="str">
        <x:v>AV-1025</x:v>
      </x:c>
      <x:c r="C26" t="str">
        <x:v>OT-5001</x:v>
      </x:c>
      <x:c r="D26" t="str">
        <x:v>E01</x:v>
      </x:c>
      <x:c r="E26" t="n">
        <x:v>40</x:v>
      </x:c>
      <x:c r="F26" t="str">
        <x:v>Sous-ensemble différent / contrôle</x:v>
      </x:c>
      <x:c r="G26" t="str">
        <x:v>Coïncidence non causale</x:v>
      </x:c>
      <x:c r="H26" t="str">
        <x:v>Rejeté fictivement</x:v>
      </x:c>
      <x:c r="I26" t="str">
        <x:v>Faux rapprochement volontaire</x:v>
      </x:c>
    </x:row>
    <x:row r="27" ht="23" customHeight="1">
      <x:c r="A27" t="str">
        <x:v>L-026</x:v>
      </x:c>
      <x:c r="B27" t="str">
        <x:v>AV-1026</x:v>
      </x:c>
      <x:c r="C27" t="str">
        <x:v>OT-5002</x:v>
      </x:c>
      <x:c r="D27" t="str">
        <x:v>E08</x:v>
      </x:c>
      <x:c r="E27" t="n">
        <x:v>11</x:v>
      </x:c>
      <x:c r="F27" t="str">
        <x:v>Sous-ensemble différent / contrôle</x:v>
      </x:c>
      <x:c r="G27" t="str">
        <x:v>Coïncidence non causale</x:v>
      </x:c>
      <x:c r="H27" t="str">
        <x:v>Rejeté fictivement</x:v>
      </x:c>
      <x:c r="I27" t="str">
        <x:v>Faux rapprochement volontaire</x:v>
      </x:c>
    </x:row>
    <x:row r="28" ht="23" customHeight="1">
      <x:c r="A28" t="str">
        <x:v>L-027</x:v>
      </x:c>
      <x:c r="B28" t="str">
        <x:v>AV-1027</x:v>
      </x:c>
      <x:c r="C28" t="str">
        <x:v>OT-5003</x:v>
      </x:c>
      <x:c r="D28" t="str">
        <x:v>E03</x:v>
      </x:c>
      <x:c r="E28" t="n">
        <x:v>44</x:v>
      </x:c>
      <x:c r="F28" t="str">
        <x:v>Sous-ensemble différent / contrôle</x:v>
      </x:c>
      <x:c r="G28" t="str">
        <x:v>Coïncidence non causale</x:v>
      </x:c>
      <x:c r="H28" t="str">
        <x:v>Rejeté fictivement</x:v>
      </x:c>
      <x:c r="I28" t="str">
        <x:v>Faux rapprochement volontaire</x:v>
      </x:c>
    </x:row>
    <x:row r="29" ht="23" customHeight="1">
      <x:c r="A29" t="str">
        <x:v>L-028</x:v>
      </x:c>
      <x:c r="B29" t="str">
        <x:v>AV-1028</x:v>
      </x:c>
      <x:c r="C29" t="str">
        <x:v>OT-5004</x:v>
      </x:c>
      <x:c r="D29" t="str">
        <x:v>E10</x:v>
      </x:c>
      <x:c r="E29" t="n">
        <x:v>16</x:v>
      </x:c>
      <x:c r="F29" t="str">
        <x:v>Sous-ensemble différent / contrôle</x:v>
      </x:c>
      <x:c r="G29" t="str">
        <x:v>Coïncidence non causale</x:v>
      </x:c>
      <x:c r="H29" t="str">
        <x:v>Rejeté fictivement</x:v>
      </x:c>
      <x:c r="I29" t="str">
        <x:v>Faux rapprochement volontaire</x:v>
      </x:c>
    </x:row>
    <x:row r="30" ht="23" customHeight="1">
      <x:c r="A30" t="str">
        <x:v>L-029</x:v>
      </x:c>
      <x:c r="B30" t="str">
        <x:v>AV-1029</x:v>
      </x:c>
      <x:c r="C30" t="str">
        <x:v>OT-5005</x:v>
      </x:c>
      <x:c r="D30" t="str">
        <x:v>E05</x:v>
      </x:c>
      <x:c r="E30" t="n">
        <x:v>47</x:v>
      </x:c>
      <x:c r="F30" t="str">
        <x:v>Sous-ensemble différent / contrôle</x:v>
      </x:c>
      <x:c r="G30" t="str">
        <x:v>Coïncidence non causale</x:v>
      </x:c>
      <x:c r="H30" t="str">
        <x:v>Rejeté fictivement</x:v>
      </x:c>
      <x:c r="I30" t="str">
        <x:v>Faux rapprochement volontaire</x:v>
      </x:c>
    </x:row>
    <x:row r="31" ht="23" customHeight="1">
      <x:c r="A31" t="str">
        <x:v>L-030</x:v>
      </x:c>
      <x:c r="B31" t="str">
        <x:v>AV-1030</x:v>
      </x:c>
      <x:c r="C31" t="str">
        <x:v>OT-5006</x:v>
      </x:c>
      <x:c r="D31" t="str">
        <x:v>E12</x:v>
      </x:c>
      <x:c r="E31" t="n">
        <x:v>36</x:v>
      </x:c>
      <x:c r="F31" t="str">
        <x:v>Sous-ensemble différent / contrôle</x:v>
      </x:c>
      <x:c r="G31" t="str">
        <x:v>Coïncidence non causale</x:v>
      </x:c>
      <x:c r="H31" t="str">
        <x:v>Rejeté fictivement</x:v>
      </x:c>
      <x:c r="I31" t="str">
        <x:v>Faux rapprochement volontaire</x:v>
      </x:c>
    </x:row>
    <x:row r="32" ht="23" customHeight="1">
      <x:c r="A32" t="str">
        <x:v>L-031</x:v>
      </x:c>
      <x:c r="B32" t="str">
        <x:v>AV-1031</x:v>
      </x:c>
      <x:c r="C32" t="str">
        <x:v>OT-5007</x:v>
      </x:c>
      <x:c r="D32" t="str">
        <x:v>E07</x:v>
      </x:c>
      <x:c r="E32" t="n">
        <x:v>35</x:v>
      </x:c>
      <x:c r="F32" t="str">
        <x:v>Sous-ensemble différent / contrôle</x:v>
      </x:c>
      <x:c r="G32" t="str">
        <x:v>Coïncidence non causale</x:v>
      </x:c>
      <x:c r="H32" t="str">
        <x:v>Rejeté fictivement</x:v>
      </x:c>
      <x:c r="I32" t="str">
        <x:v>Faux rapprochement volontaire</x:v>
      </x:c>
    </x:row>
    <x:row r="33" ht="23" customHeight="1">
      <x:c r="A33" t="str">
        <x:v>L-032</x:v>
      </x:c>
      <x:c r="B33" t="str">
        <x:v>AV-1032</x:v>
      </x:c>
      <x:c r="C33" t="str">
        <x:v>OT-5008</x:v>
      </x:c>
      <x:c r="D33" t="str">
        <x:v>E02</x:v>
      </x:c>
      <x:c r="E33" t="n">
        <x:v>33</x:v>
      </x:c>
      <x:c r="F33" t="str">
        <x:v>Sous-ensemble différent / contrôle</x:v>
      </x:c>
      <x:c r="G33" t="str">
        <x:v>Coïncidence non causale</x:v>
      </x:c>
      <x:c r="H33" t="str">
        <x:v>Rejeté fictivement</x:v>
      </x:c>
      <x:c r="I33" t="str">
        <x:v>Faux rapprochement volontaire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32" hidden="0" customWidth="1"/>
    <x:col min="4" max="4" width="16" hidden="0" customWidth="1"/>
    <x:col min="5" max="5" width="16" hidden="0" customWidth="1"/>
    <x:col min="6" max="6" width="17" hidden="0" customWidth="1"/>
    <x:col min="7" max="7" width="19" hidden="0" customWidth="1"/>
    <x:col min="8" max="8" width="23" hidden="0" customWidth="1"/>
    <x:col min="9" max="9" width="19" hidden="0" customWidth="1"/>
    <x:col min="10" max="10" width="17" hidden="0" customWidth="1"/>
    <x:col min="11" max="11" width="18" hidden="0" customWidth="1"/>
    <x:col min="12" max="12" width="17" hidden="0" customWidth="1"/>
    <x:col min="13" max="13" width="17" hidden="0" customWidth="1"/>
    <x:col min="14" max="14" width="58" hidden="0" customWidth="1"/>
    <x:col min="15" max="15" width="21" hidden="0" customWidth="1"/>
    <x:col min="16" max="16" width="50" hidden="0" customWidth="1"/>
  </x:cols>
  <x:sheetData>
    <x:row r="1" ht="34" customHeight="1">
      <x:c r="A1" s="5" t="str">
        <x:v>Avis jaune</x:v>
      </x:c>
      <x:c r="B1" s="5" t="str">
        <x:v>Equipement</x:v>
      </x:c>
      <x:c r="C1" s="5" t="str">
        <x:v>Symptôme</x:v>
      </x:c>
      <x:c r="D1" s="5" t="str">
        <x:v>Date Avis</x:v>
      </x:c>
      <x:c r="E1" s="5" t="str">
        <x:v>Statut</x:v>
      </x:c>
      <x:c r="F1" s="5" t="str">
        <x:v>Criticité 0-5</x:v>
      </x:c>
      <x:c r="G1" s="5" t="str">
        <x:v>Récurrence 0-5</x:v>
      </x:c>
      <x:c r="H1" s="5" t="str">
        <x:v>Similarité hist. 0-5</x:v>
      </x:c>
      <x:c r="I1" s="5" t="str">
        <x:v>Ancienneté 0-5</x:v>
      </x:c>
      <x:c r="J1" s="5" t="str">
        <x:v>Gravité 0-5</x:v>
      </x:c>
      <x:c r="K1" s="5" t="str">
        <x:v>Contexte 0-5</x:v>
      </x:c>
      <x:c r="L1" s="5" t="str">
        <x:v>SCORE /100</x:v>
      </x:c>
      <x:c r="M1" s="5" t="str">
        <x:v>Classe</x:v>
      </x:c>
      <x:c r="N1" s="5" t="str">
        <x:v>Justification auto</x:v>
      </x:c>
      <x:c r="O1" s="5" t="str">
        <x:v>Validation expert</x:v>
      </x:c>
      <x:c r="P1" s="5" t="str">
        <x:v>Note</x:v>
      </x:c>
      <x:c r="Q1" t="str">
        <x:v>Rang technique</x:v>
      </x:c>
    </x:row>
    <x:row r="2" ht="23" customHeight="1">
      <x:c r="A2" t="str">
        <x:v>AV-1001</x:v>
      </x:c>
      <x:c r="B2" t="str">
        <x:v>E01</x:v>
      </x:c>
      <x:c r="C2" t="str">
        <x:v>Fuite d’huile progressive</x:v>
      </x:c>
      <x:c r="D2" t="str">
        <x:v>2025-01-03</x:v>
      </x:c>
      <x:c r="E2" t="str">
        <x:v>Clôturé</x:v>
      </x:c>
      <x:c r="F2" s="12" t="n">
        <x:v>5</x:v>
      </x:c>
      <x:c r="G2" s="12" t="n">
        <x:v>4</x:v>
      </x:c>
      <x:c r="H2" s="12" t="n">
        <x:v>2</x:v>
      </x:c>
      <x:c r="I2" s="12" t="n">
        <x:v>0</x:v>
      </x:c>
      <x:c r="J2" s="12" t="n">
        <x:v>5</x:v>
      </x:c>
      <x:c r="K2" s="12" t="n">
        <x:v>4</x:v>
      </x:c>
      <x:c r="L2" s="14" t="n">
        <x:f>ROUND((F2*PARAMETRES!$B$2+G2*PARAMETRES!$B$3+H2*PARAMETRES!$B$4+I2*PARAMETRES!$B$5+J2*PARAMETRES!$B$6+K2*PARAMETRES!$B$7)/5,0)</x:f>
        <x:v>67</x:v>
      </x:c>
      <x:c r="M2" s="14" t="str">
        <x:f>IF(L2&gt;=PARAMETRES!$B$9,"HAUTE",IF(L2&gt;=PARAMETRES!$B$10,"MOYENNE","BASSE"))</x:f>
        <x:v>MOYENNE</x:v>
      </x:c>
      <x:c r="N2" t="str">
        <x:f>IF(H2&gt;=4,"Similarité historique forte; ","")&amp;IF(G2&gt;=4,"Récurrence élevée; ","")&amp;IF(I2&gt;=4,"Avis ancien/reporté; ","")&amp;IF(F2&gt;=4,"Equipement critique; ","")</x:f>
        <x:v>Récurrence élevée; Equipement critique; </x:v>
      </x:c>
      <x:c r="O2" t="str">
        <x:v>À vérifier</x:v>
      </x:c>
      <x:c r="P2" t="str">
        <x:v>Hypothèse test : notes saisies manuellement, pas de prédiction IA</x:v>
      </x:c>
      <x:c r="Q2" t="n">
        <x:f>L2+(1000-2)/100000</x:f>
        <x:v>67.00998</x:v>
      </x:c>
    </x:row>
    <x:row r="3" ht="23" customHeight="1">
      <x:c r="A3" t="str">
        <x:v>AV-1002</x:v>
      </x:c>
      <x:c r="B3" t="str">
        <x:v>E02</x:v>
      </x:c>
      <x:c r="C3" t="str">
        <x:v>Vibration inhabituelle</x:v>
      </x:c>
      <x:c r="D3" t="str">
        <x:v>2025-01-18</x:v>
      </x:c>
      <x:c r="E3" t="str">
        <x:v>En attente</x:v>
      </x:c>
      <x:c r="F3" s="12" t="n">
        <x:v>5</x:v>
      </x:c>
      <x:c r="G3" s="12" t="n">
        <x:v>3</x:v>
      </x:c>
      <x:c r="H3" s="12" t="n">
        <x:v>4</x:v>
      </x:c>
      <x:c r="I3" s="12" t="n">
        <x:v>3</x:v>
      </x:c>
      <x:c r="J3" s="12" t="n">
        <x:v>5</x:v>
      </x:c>
      <x:c r="K3" s="12" t="n">
        <x:v>5</x:v>
      </x:c>
      <x:c r="L3" s="14" t="n">
        <x:f>ROUND((F3*PARAMETRES!$B$2+G3*PARAMETRES!$B$3+H3*PARAMETRES!$B$4+I3*PARAMETRES!$B$5+J3*PARAMETRES!$B$6+K3*PARAMETRES!$B$7)/5,0)</x:f>
        <x:v>82</x:v>
      </x:c>
      <x:c r="M3" s="14" t="str">
        <x:f>IF(L3&gt;=PARAMETRES!$B$9,"HAUTE",IF(L3&gt;=PARAMETRES!$B$10,"MOYENNE","BASSE"))</x:f>
        <x:v>HAUTE</x:v>
      </x:c>
      <x:c r="N3" t="str">
        <x:f>IF(H3&gt;=4,"Similarité historique forte; ","")&amp;IF(G3&gt;=4,"Récurrence élevée; ","")&amp;IF(I3&gt;=4,"Avis ancien/reporté; ","")&amp;IF(F3&gt;=4,"Equipement critique; ","")</x:f>
        <x:v>Similarité historique forte; Equipement critique; </x:v>
      </x:c>
      <x:c r="O3" t="str">
        <x:v>À vérifier</x:v>
      </x:c>
      <x:c r="P3" t="str">
        <x:v>Hypothèse test : notes saisies manuellement, pas de prédiction IA</x:v>
      </x:c>
      <x:c r="Q3" t="n">
        <x:f>L3+(1000-3)/100000</x:f>
        <x:v>82.00997</x:v>
      </x:c>
    </x:row>
    <x:row r="4" ht="23" customHeight="1">
      <x:c r="A4" t="str">
        <x:v>AV-1003</x:v>
      </x:c>
      <x:c r="B4" t="str">
        <x:v>E03</x:v>
      </x:c>
      <x:c r="C4" t="str">
        <x:v>Bruit intermittent</x:v>
      </x:c>
      <x:c r="D4" t="str">
        <x:v>2025-02-02</x:v>
      </x:c>
      <x:c r="E4" t="str">
        <x:v>En attente</x:v>
      </x:c>
      <x:c r="F4" s="12" t="n">
        <x:v>4</x:v>
      </x:c>
      <x:c r="G4" s="12" t="n">
        <x:v>4</x:v>
      </x:c>
      <x:c r="H4" s="12" t="n">
        <x:v>3</x:v>
      </x:c>
      <x:c r="I4" s="12" t="n">
        <x:v>2</x:v>
      </x:c>
      <x:c r="J4" s="12" t="n">
        <x:v>4</x:v>
      </x:c>
      <x:c r="K4" s="12" t="n">
        <x:v>3</x:v>
      </x:c>
      <x:c r="L4" s="14" t="n">
        <x:f>ROUND((F4*PARAMETRES!$B$2+G4*PARAMETRES!$B$3+H4*PARAMETRES!$B$4+I4*PARAMETRES!$B$5+J4*PARAMETRES!$B$6+K4*PARAMETRES!$B$7)/5,0)</x:f>
        <x:v>68</x:v>
      </x:c>
      <x:c r="M4" s="14" t="str">
        <x:f>IF(L4&gt;=PARAMETRES!$B$9,"HAUTE",IF(L4&gt;=PARAMETRES!$B$10,"MOYENNE","BASSE"))</x:f>
        <x:v>MOYENNE</x:v>
      </x:c>
      <x:c r="N4" t="str">
        <x:f>IF(H4&gt;=4,"Similarité historique forte; ","")&amp;IF(G4&gt;=4,"Récurrence élevée; ","")&amp;IF(I4&gt;=4,"Avis ancien/reporté; ","")&amp;IF(F4&gt;=4,"Equipement critique; ","")</x:f>
        <x:v>Récurrence élevée; Equipement critique; </x:v>
      </x:c>
      <x:c r="O4" t="str">
        <x:v>À vérifier</x:v>
      </x:c>
      <x:c r="P4" t="str">
        <x:v>Hypothèse test : notes saisies manuellement, pas de prédiction IA</x:v>
      </x:c>
      <x:c r="Q4" t="n">
        <x:f>L4+(1000-4)/100000</x:f>
        <x:v>68.00996</x:v>
      </x:c>
    </x:row>
    <x:row r="5" ht="23" customHeight="1">
      <x:c r="A5" t="str">
        <x:v>AV-1004</x:v>
      </x:c>
      <x:c r="B5" t="str">
        <x:v>E04</x:v>
      </x:c>
      <x:c r="C5" t="str">
        <x:v>Température élevée</x:v>
      </x:c>
      <x:c r="D5" t="str">
        <x:v>2025-02-12</x:v>
      </x:c>
      <x:c r="E5" t="str">
        <x:v>Clôturé</x:v>
      </x:c>
      <x:c r="F5" s="12" t="n">
        <x:v>4</x:v>
      </x:c>
      <x:c r="G5" s="12" t="n">
        <x:v>1</x:v>
      </x:c>
      <x:c r="H5" s="12" t="n">
        <x:v>2</x:v>
      </x:c>
      <x:c r="I5" s="12" t="n">
        <x:v>2</x:v>
      </x:c>
      <x:c r="J5" s="12" t="n">
        <x:v>3</x:v>
      </x:c>
      <x:c r="K5" s="12" t="n">
        <x:v>5</x:v>
      </x:c>
      <x:c r="L5" s="14" t="n">
        <x:f>ROUND((F5*PARAMETRES!$B$2+G5*PARAMETRES!$B$3+H5*PARAMETRES!$B$4+I5*PARAMETRES!$B$5+J5*PARAMETRES!$B$6+K5*PARAMETRES!$B$7)/5,0)</x:f>
        <x:v>54</x:v>
      </x:c>
      <x:c r="M5" s="14" t="str">
        <x:f>IF(L5&gt;=PARAMETRES!$B$9,"HAUTE",IF(L5&gt;=PARAMETRES!$B$10,"MOYENNE","BASSE"))</x:f>
        <x:v>MOYENNE</x:v>
      </x:c>
      <x:c r="N5" t="str">
        <x:f>IF(H5&gt;=4,"Similarité historique forte; ","")&amp;IF(G5&gt;=4,"Récurrence élevée; ","")&amp;IF(I5&gt;=4,"Avis ancien/reporté; ","")&amp;IF(F5&gt;=4,"Equipement critique; ","")</x:f>
        <x:v>Equipement critique; </x:v>
      </x:c>
      <x:c r="O5" t="str">
        <x:v>À vérifier</x:v>
      </x:c>
      <x:c r="P5" t="str">
        <x:v>Hypothèse test : notes saisies manuellement, pas de prédiction IA</x:v>
      </x:c>
      <x:c r="Q5" t="n">
        <x:f>L5+(1000-5)/100000</x:f>
        <x:v>54.00995</x:v>
      </x:c>
    </x:row>
    <x:row r="6" ht="23" customHeight="1">
      <x:c r="A6" t="str">
        <x:v>AV-1005</x:v>
      </x:c>
      <x:c r="B6" t="str">
        <x:v>E05</x:v>
      </x:c>
      <x:c r="C6" t="str">
        <x:v>Pression instable</x:v>
      </x:c>
      <x:c r="D6" t="str">
        <x:v>2025-02-26</x:v>
      </x:c>
      <x:c r="E6" t="str">
        <x:v>En attente</x:v>
      </x:c>
      <x:c r="F6" s="12" t="n">
        <x:v>4</x:v>
      </x:c>
      <x:c r="G6" s="12" t="n">
        <x:v>4</x:v>
      </x:c>
      <x:c r="H6" s="12" t="n">
        <x:v>5</x:v>
      </x:c>
      <x:c r="I6" s="12" t="n">
        <x:v>1</x:v>
      </x:c>
      <x:c r="J6" s="12" t="n">
        <x:v>4</x:v>
      </x:c>
      <x:c r="K6" s="12" t="n">
        <x:v>5</x:v>
      </x:c>
      <x:c r="L6" s="14" t="n">
        <x:f>ROUND((F6*PARAMETRES!$B$2+G6*PARAMETRES!$B$3+H6*PARAMETRES!$B$4+I6*PARAMETRES!$B$5+J6*PARAMETRES!$B$6+K6*PARAMETRES!$B$7)/5,0)</x:f>
        <x:v>77</x:v>
      </x:c>
      <x:c r="M6" s="14" t="str">
        <x:f>IF(L6&gt;=PARAMETRES!$B$9,"HAUTE",IF(L6&gt;=PARAMETRES!$B$10,"MOYENNE","BASSE"))</x:f>
        <x:v>HAUTE</x:v>
      </x:c>
      <x:c r="N6" t="str">
        <x:f>IF(H6&gt;=4,"Similarité historique forte; ","")&amp;IF(G6&gt;=4,"Récurrence élevée; ","")&amp;IF(I6&gt;=4,"Avis ancien/reporté; ","")&amp;IF(F6&gt;=4,"Equipement critique; ","")</x:f>
        <x:v>Similarité historique forte; Récurrence élevée; Equipement critique; </x:v>
      </x:c>
      <x:c r="O6" t="str">
        <x:v>À vérifier</x:v>
      </x:c>
      <x:c r="P6" t="str">
        <x:v>Hypothèse test : notes saisies manuellement, pas de prédiction IA</x:v>
      </x:c>
      <x:c r="Q6" t="n">
        <x:f>L6+(1000-6)/100000</x:f>
        <x:v>77.00994</x:v>
      </x:c>
    </x:row>
    <x:row r="7" ht="23" customHeight="1">
      <x:c r="A7" t="str">
        <x:v>AV-1006</x:v>
      </x:c>
      <x:c r="B7" t="str">
        <x:v>E06</x:v>
      </x:c>
      <x:c r="C7" t="str">
        <x:v>Défaut capteur intermittent</x:v>
      </x:c>
      <x:c r="D7" t="str">
        <x:v>2025-03-12</x:v>
      </x:c>
      <x:c r="E7" t="str">
        <x:v>En attente</x:v>
      </x:c>
      <x:c r="F7" s="12" t="n">
        <x:v>3</x:v>
      </x:c>
      <x:c r="G7" s="12" t="n">
        <x:v>4</x:v>
      </x:c>
      <x:c r="H7" s="12" t="n">
        <x:v>2</x:v>
      </x:c>
      <x:c r="I7" s="12" t="n">
        <x:v>1</x:v>
      </x:c>
      <x:c r="J7" s="12" t="n">
        <x:v>4</x:v>
      </x:c>
      <x:c r="K7" s="12" t="n">
        <x:v>3</x:v>
      </x:c>
      <x:c r="L7" s="14" t="n">
        <x:f>ROUND((F7*PARAMETRES!$B$2+G7*PARAMETRES!$B$3+H7*PARAMETRES!$B$4+I7*PARAMETRES!$B$5+J7*PARAMETRES!$B$6+K7*PARAMETRES!$B$7)/5,0)</x:f>
        <x:v>56</x:v>
      </x:c>
      <x:c r="M7" s="14" t="str">
        <x:f>IF(L7&gt;=PARAMETRES!$B$9,"HAUTE",IF(L7&gt;=PARAMETRES!$B$10,"MOYENNE","BASSE"))</x:f>
        <x:v>MOYENNE</x:v>
      </x:c>
      <x:c r="N7" t="str">
        <x:f>IF(H7&gt;=4,"Similarité historique forte; ","")&amp;IF(G7&gt;=4,"Récurrence élevée; ","")&amp;IF(I7&gt;=4,"Avis ancien/reporté; ","")&amp;IF(F7&gt;=4,"Equipement critique; ","")</x:f>
        <x:v>Récurrence élevée; </x:v>
      </x:c>
      <x:c r="O7" t="str">
        <x:v>À vérifier</x:v>
      </x:c>
      <x:c r="P7" t="str">
        <x:v>Hypothèse test : notes saisies manuellement, pas de prédiction IA</x:v>
      </x:c>
      <x:c r="Q7" t="n">
        <x:f>L7+(1000-7)/100000</x:f>
        <x:v>56.00993</x:v>
      </x:c>
    </x:row>
    <x:row r="8" ht="23" customHeight="1">
      <x:c r="A8" t="str">
        <x:v>AV-1007</x:v>
      </x:c>
      <x:c r="B8" t="str">
        <x:v>E07</x:v>
      </x:c>
      <x:c r="C8" t="str">
        <x:v>Débit irrégulier</x:v>
      </x:c>
      <x:c r="D8" t="str">
        <x:v>2025-03-27</x:v>
      </x:c>
      <x:c r="E8" t="str">
        <x:v>Clôturé</x:v>
      </x:c>
      <x:c r="F8" s="12" t="n">
        <x:v>5</x:v>
      </x:c>
      <x:c r="G8" s="12" t="n">
        <x:v>3</x:v>
      </x:c>
      <x:c r="H8" s="12" t="n">
        <x:v>2</x:v>
      </x:c>
      <x:c r="I8" s="12" t="n">
        <x:v>3</x:v>
      </x:c>
      <x:c r="J8" s="12" t="n">
        <x:v>4</x:v>
      </x:c>
      <x:c r="K8" s="12" t="n">
        <x:v>0</x:v>
      </x:c>
      <x:c r="L8" s="14" t="n">
        <x:f>ROUND((F8*PARAMETRES!$B$2+G8*PARAMETRES!$B$3+H8*PARAMETRES!$B$4+I8*PARAMETRES!$B$5+J8*PARAMETRES!$B$6+K8*PARAMETRES!$B$7)/5,0)</x:f>
        <x:v>62</x:v>
      </x:c>
      <x:c r="M8" s="14" t="str">
        <x:f>IF(L8&gt;=PARAMETRES!$B$9,"HAUTE",IF(L8&gt;=PARAMETRES!$B$10,"MOYENNE","BASSE"))</x:f>
        <x:v>MOYENNE</x:v>
      </x:c>
      <x:c r="N8" t="str">
        <x:f>IF(H8&gt;=4,"Similarité historique forte; ","")&amp;IF(G8&gt;=4,"Récurrence élevée; ","")&amp;IF(I8&gt;=4,"Avis ancien/reporté; ","")&amp;IF(F8&gt;=4,"Equipement critique; ","")</x:f>
        <x:v>Equipement critique; </x:v>
      </x:c>
      <x:c r="O8" t="str">
        <x:v>À vérifier</x:v>
      </x:c>
      <x:c r="P8" t="str">
        <x:v>Hypothèse test : notes saisies manuellement, pas de prédiction IA</x:v>
      </x:c>
      <x:c r="Q8" t="n">
        <x:f>L8+(1000-8)/100000</x:f>
        <x:v>62.00992</x:v>
      </x:c>
    </x:row>
    <x:row r="9" ht="23" customHeight="1">
      <x:c r="A9" t="str">
        <x:v>AV-1008</x:v>
      </x:c>
      <x:c r="B9" t="str">
        <x:v>E08</x:v>
      </x:c>
      <x:c r="C9" t="str">
        <x:v>Jeu mécanique observé</x:v>
      </x:c>
      <x:c r="D9" t="str">
        <x:v>2025-04-10</x:v>
      </x:c>
      <x:c r="E9" t="str">
        <x:v>En attente</x:v>
      </x:c>
      <x:c r="F9" s="12" t="n">
        <x:v>3</x:v>
      </x:c>
      <x:c r="G9" s="12" t="n">
        <x:v>3</x:v>
      </x:c>
      <x:c r="H9" s="12" t="n">
        <x:v>5</x:v>
      </x:c>
      <x:c r="I9" s="12" t="n">
        <x:v>0</x:v>
      </x:c>
      <x:c r="J9" s="12" t="n">
        <x:v>2</x:v>
      </x:c>
      <x:c r="K9" s="12" t="n">
        <x:v>4</x:v>
      </x:c>
      <x:c r="L9" s="14" t="n">
        <x:f>ROUND((F9*PARAMETRES!$B$2+G9*PARAMETRES!$B$3+H9*PARAMETRES!$B$4+I9*PARAMETRES!$B$5+J9*PARAMETRES!$B$6+K9*PARAMETRES!$B$7)/5,0)</x:f>
        <x:v>59</x:v>
      </x:c>
      <x:c r="M9" s="14" t="str">
        <x:f>IF(L9&gt;=PARAMETRES!$B$9,"HAUTE",IF(L9&gt;=PARAMETRES!$B$10,"MOYENNE","BASSE"))</x:f>
        <x:v>MOYENNE</x:v>
      </x:c>
      <x:c r="N9" t="str">
        <x:f>IF(H9&gt;=4,"Similarité historique forte; ","")&amp;IF(G9&gt;=4,"Récurrence élevée; ","")&amp;IF(I9&gt;=4,"Avis ancien/reporté; ","")&amp;IF(F9&gt;=4,"Equipement critique; ","")</x:f>
        <x:v>Similarité historique forte; </x:v>
      </x:c>
      <x:c r="O9" t="str">
        <x:v>À vérifier</x:v>
      </x:c>
      <x:c r="P9" t="str">
        <x:v>Hypothèse test : notes saisies manuellement, pas de prédiction IA</x:v>
      </x:c>
      <x:c r="Q9" t="n">
        <x:f>L9+(1000-9)/100000</x:f>
        <x:v>59.00991</x:v>
      </x:c>
    </x:row>
    <x:row r="10" ht="23" customHeight="1">
      <x:c r="A10" t="str">
        <x:v>AV-1009</x:v>
      </x:c>
      <x:c r="B10" t="str">
        <x:v>E09</x:v>
      </x:c>
      <x:c r="C10" t="str">
        <x:v>Fuite d’huile progressive</x:v>
      </x:c>
      <x:c r="D10" t="str">
        <x:v>2025-04-27</x:v>
      </x:c>
      <x:c r="E10" t="str">
        <x:v>En attente</x:v>
      </x:c>
      <x:c r="F10" s="12" t="n">
        <x:v>3</x:v>
      </x:c>
      <x:c r="G10" s="12" t="n">
        <x:v>2</x:v>
      </x:c>
      <x:c r="H10" s="12" t="n">
        <x:v>3</x:v>
      </x:c>
      <x:c r="I10" s="12" t="n">
        <x:v>1</x:v>
      </x:c>
      <x:c r="J10" s="12" t="n">
        <x:v>3</x:v>
      </x:c>
      <x:c r="K10" s="12" t="n">
        <x:v>4</x:v>
      </x:c>
      <x:c r="L10" s="14" t="n">
        <x:f>ROUND((F10*PARAMETRES!$B$2+G10*PARAMETRES!$B$3+H10*PARAMETRES!$B$4+I10*PARAMETRES!$B$5+J10*PARAMETRES!$B$6+K10*PARAMETRES!$B$7)/5,0)</x:f>
        <x:v>52</x:v>
      </x:c>
      <x:c r="M10" s="14" t="str">
        <x:f>IF(L10&gt;=PARAMETRES!$B$9,"HAUTE",IF(L10&gt;=PARAMETRES!$B$10,"MOYENNE","BASSE"))</x:f>
        <x:v>MOYENNE</x:v>
      </x:c>
      <x:c r="N10" t="str">
        <x:f>IF(H10&gt;=4,"Similarité historique forte; ","")&amp;IF(G10&gt;=4,"Récurrence élevée; ","")&amp;IF(I10&gt;=4,"Avis ancien/reporté; ","")&amp;IF(F10&gt;=4,"Equipement critique; ","")</x:f>
      </x:c>
      <x:c r="O10" t="str">
        <x:v>À vérifier</x:v>
      </x:c>
      <x:c r="P10" t="str">
        <x:v>Hypothèse test : notes saisies manuellement, pas de prédiction IA</x:v>
      </x:c>
      <x:c r="Q10" t="n">
        <x:f>L10+(1000-10)/100000</x:f>
        <x:v>52.0099</x:v>
      </x:c>
    </x:row>
    <x:row r="11" ht="23" customHeight="1">
      <x:c r="A11" t="str">
        <x:v>AV-1010</x:v>
      </x:c>
      <x:c r="B11" t="str">
        <x:v>E10</x:v>
      </x:c>
      <x:c r="C11" t="str">
        <x:v>Vibration inhabituelle</x:v>
      </x:c>
      <x:c r="D11" t="str">
        <x:v>2025-05-07</x:v>
      </x:c>
      <x:c r="E11" t="str">
        <x:v>Clôturé</x:v>
      </x:c>
      <x:c r="F11" s="12" t="n">
        <x:v>4</x:v>
      </x:c>
      <x:c r="G11" s="12" t="n">
        <x:v>3</x:v>
      </x:c>
      <x:c r="H11" s="12" t="n">
        <x:v>4</x:v>
      </x:c>
      <x:c r="I11" s="12" t="n">
        <x:v>0</x:v>
      </x:c>
      <x:c r="J11" s="12" t="n">
        <x:v>4</x:v>
      </x:c>
      <x:c r="K11" s="12" t="n">
        <x:v>4</x:v>
      </x:c>
      <x:c r="L11" s="14" t="n">
        <x:f>ROUND((F11*PARAMETRES!$B$2+G11*PARAMETRES!$B$3+H11*PARAMETRES!$B$4+I11*PARAMETRES!$B$5+J11*PARAMETRES!$B$6+K11*PARAMETRES!$B$7)/5,0)</x:f>
        <x:v>64</x:v>
      </x:c>
      <x:c r="M11" s="14" t="str">
        <x:f>IF(L11&gt;=PARAMETRES!$B$9,"HAUTE",IF(L11&gt;=PARAMETRES!$B$10,"MOYENNE","BASSE"))</x:f>
        <x:v>MOYENNE</x:v>
      </x:c>
      <x:c r="N11" t="str">
        <x:f>IF(H11&gt;=4,"Similarité historique forte; ","")&amp;IF(G11&gt;=4,"Récurrence élevée; ","")&amp;IF(I11&gt;=4,"Avis ancien/reporté; ","")&amp;IF(F11&gt;=4,"Equipement critique; ","")</x:f>
        <x:v>Similarité historique forte; Equipement critique; </x:v>
      </x:c>
      <x:c r="O11" t="str">
        <x:v>À vérifier</x:v>
      </x:c>
      <x:c r="P11" t="str">
        <x:v>Hypothèse test : notes saisies manuellement, pas de prédiction IA</x:v>
      </x:c>
      <x:c r="Q11" t="n">
        <x:f>L11+(1000-11)/100000</x:f>
        <x:v>64.00989</x:v>
      </x:c>
    </x:row>
    <x:row r="12" ht="23" customHeight="1">
      <x:c r="A12" t="str">
        <x:v>AV-1011</x:v>
      </x:c>
      <x:c r="B12" t="str">
        <x:v>E11</x:v>
      </x:c>
      <x:c r="C12" t="str">
        <x:v>Bruit intermittent</x:v>
      </x:c>
      <x:c r="D12" t="str">
        <x:v>2025-05-23</x:v>
      </x:c>
      <x:c r="E12" t="str">
        <x:v>En attente</x:v>
      </x:c>
      <x:c r="F12" s="12" t="n">
        <x:v>3</x:v>
      </x:c>
      <x:c r="G12" s="12" t="n">
        <x:v>4</x:v>
      </x:c>
      <x:c r="H12" s="12" t="n">
        <x:v>2</x:v>
      </x:c>
      <x:c r="I12" s="12" t="n">
        <x:v>3</x:v>
      </x:c>
      <x:c r="J12" s="12" t="n">
        <x:v>2</x:v>
      </x:c>
      <x:c r="K12" s="12" t="n">
        <x:v>2</x:v>
      </x:c>
      <x:c r="L12" s="14" t="n">
        <x:f>ROUND((F12*PARAMETRES!$B$2+G12*PARAMETRES!$B$3+H12*PARAMETRES!$B$4+I12*PARAMETRES!$B$5+J12*PARAMETRES!$B$6+K12*PARAMETRES!$B$7)/5,0)</x:f>
        <x:v>56</x:v>
      </x:c>
      <x:c r="M12" s="14" t="str">
        <x:f>IF(L12&gt;=PARAMETRES!$B$9,"HAUTE",IF(L12&gt;=PARAMETRES!$B$10,"MOYENNE","BASSE"))</x:f>
        <x:v>MOYENNE</x:v>
      </x:c>
      <x:c r="N12" t="str">
        <x:f>IF(H12&gt;=4,"Similarité historique forte; ","")&amp;IF(G12&gt;=4,"Récurrence élevée; ","")&amp;IF(I12&gt;=4,"Avis ancien/reporté; ","")&amp;IF(F12&gt;=4,"Equipement critique; ","")</x:f>
        <x:v>Récurrence élevée; </x:v>
      </x:c>
      <x:c r="O12" t="str">
        <x:v>À vérifier</x:v>
      </x:c>
      <x:c r="P12" t="str">
        <x:v>Hypothèse test : notes saisies manuellement, pas de prédiction IA</x:v>
      </x:c>
      <x:c r="Q12" t="n">
        <x:f>L12+(1000-12)/100000</x:f>
        <x:v>56.00988</x:v>
      </x:c>
    </x:row>
    <x:row r="13" ht="23" customHeight="1">
      <x:c r="A13" t="str">
        <x:v>AV-1012</x:v>
      </x:c>
      <x:c r="B13" t="str">
        <x:v>E12</x:v>
      </x:c>
      <x:c r="C13" t="str">
        <x:v>Température élevée</x:v>
      </x:c>
      <x:c r="D13" t="str">
        <x:v>2025-06-08</x:v>
      </x:c>
      <x:c r="E13" t="str">
        <x:v>En attente</x:v>
      </x:c>
      <x:c r="F13" s="12" t="n">
        <x:v>5</x:v>
      </x:c>
      <x:c r="G13" s="12" t="n">
        <x:v>1</x:v>
      </x:c>
      <x:c r="H13" s="12" t="n">
        <x:v>3</x:v>
      </x:c>
      <x:c r="I13" s="12" t="n">
        <x:v>1</x:v>
      </x:c>
      <x:c r="J13" s="12" t="n">
        <x:v>5</x:v>
      </x:c>
      <x:c r="K13" s="12" t="n">
        <x:v>5</x:v>
      </x:c>
      <x:c r="L13" s="14" t="n">
        <x:f>ROUND((F13*PARAMETRES!$B$2+G13*PARAMETRES!$B$3+H13*PARAMETRES!$B$4+I13*PARAMETRES!$B$5+J13*PARAMETRES!$B$6+K13*PARAMETRES!$B$7)/5,0)</x:f>
        <x:v>64</x:v>
      </x:c>
      <x:c r="M13" s="14" t="str">
        <x:f>IF(L13&gt;=PARAMETRES!$B$9,"HAUTE",IF(L13&gt;=PARAMETRES!$B$10,"MOYENNE","BASSE"))</x:f>
        <x:v>MOYENNE</x:v>
      </x:c>
      <x:c r="N13" t="str">
        <x:f>IF(H13&gt;=4,"Similarité historique forte; ","")&amp;IF(G13&gt;=4,"Récurrence élevée; ","")&amp;IF(I13&gt;=4,"Avis ancien/reporté; ","")&amp;IF(F13&gt;=4,"Equipement critique; ","")</x:f>
        <x:v>Equipement critique; </x:v>
      </x:c>
      <x:c r="O13" t="str">
        <x:v>À vérifier</x:v>
      </x:c>
      <x:c r="P13" t="str">
        <x:v>Hypothèse test : notes saisies manuellement, pas de prédiction IA</x:v>
      </x:c>
      <x:c r="Q13" t="n">
        <x:f>L13+(1000-13)/100000</x:f>
        <x:v>64.00987</x:v>
      </x:c>
    </x:row>
    <x:row r="14" ht="23" customHeight="1">
      <x:c r="A14" t="str">
        <x:v>AV-1013</x:v>
      </x:c>
      <x:c r="B14" t="str">
        <x:v>E01</x:v>
      </x:c>
      <x:c r="C14" t="str">
        <x:v>Pression instable</x:v>
      </x:c>
      <x:c r="D14" t="str">
        <x:v>2025-06-20</x:v>
      </x:c>
      <x:c r="E14" t="str">
        <x:v>Clôturé</x:v>
      </x:c>
      <x:c r="F14" s="12" t="n">
        <x:v>5</x:v>
      </x:c>
      <x:c r="G14" s="12" t="n">
        <x:v>4</x:v>
      </x:c>
      <x:c r="H14" s="12" t="n">
        <x:v>3</x:v>
      </x:c>
      <x:c r="I14" s="12" t="n">
        <x:v>0</x:v>
      </x:c>
      <x:c r="J14" s="12" t="n">
        <x:v>5</x:v>
      </x:c>
      <x:c r="K14" s="12" t="n">
        <x:v>4</x:v>
      </x:c>
      <x:c r="L14" s="14" t="n">
        <x:f>ROUND((F14*PARAMETRES!$B$2+G14*PARAMETRES!$B$3+H14*PARAMETRES!$B$4+I14*PARAMETRES!$B$5+J14*PARAMETRES!$B$6+K14*PARAMETRES!$B$7)/5,0)</x:f>
        <x:v>71</x:v>
      </x:c>
      <x:c r="M14" s="14" t="str">
        <x:f>IF(L14&gt;=PARAMETRES!$B$9,"HAUTE",IF(L14&gt;=PARAMETRES!$B$10,"MOYENNE","BASSE"))</x:f>
        <x:v>MOYENNE</x:v>
      </x:c>
      <x:c r="N14" t="str">
        <x:f>IF(H14&gt;=4,"Similarité historique forte; ","")&amp;IF(G14&gt;=4,"Récurrence élevée; ","")&amp;IF(I14&gt;=4,"Avis ancien/reporté; ","")&amp;IF(F14&gt;=4,"Equipement critique; ","")</x:f>
        <x:v>Récurrence élevée; Equipement critique; </x:v>
      </x:c>
      <x:c r="O14" t="str">
        <x:v>À vérifier</x:v>
      </x:c>
      <x:c r="P14" t="str">
        <x:v>Hypothèse test : notes saisies manuellement, pas de prédiction IA</x:v>
      </x:c>
      <x:c r="Q14" t="n">
        <x:f>L14+(1000-14)/100000</x:f>
        <x:v>71.00986</x:v>
      </x:c>
    </x:row>
    <x:row r="15" ht="23" customHeight="1">
      <x:c r="A15" t="str">
        <x:v>AV-1014</x:v>
      </x:c>
      <x:c r="B15" t="str">
        <x:v>E02</x:v>
      </x:c>
      <x:c r="C15" t="str">
        <x:v>Défaut capteur intermittent</x:v>
      </x:c>
      <x:c r="D15" t="str">
        <x:v>2025-07-05</x:v>
      </x:c>
      <x:c r="E15" t="str">
        <x:v>En attente</x:v>
      </x:c>
      <x:c r="F15" s="12" t="n">
        <x:v>5</x:v>
      </x:c>
      <x:c r="G15" s="12" t="n">
        <x:v>3</x:v>
      </x:c>
      <x:c r="H15" s="12" t="n">
        <x:v>5</x:v>
      </x:c>
      <x:c r="I15" s="12" t="n">
        <x:v>3</x:v>
      </x:c>
      <x:c r="J15" s="12" t="n">
        <x:v>2</x:v>
      </x:c>
      <x:c r="K15" s="12" t="n">
        <x:v>4</x:v>
      </x:c>
      <x:c r="L15" s="14" t="n">
        <x:f>ROUND((F15*PARAMETRES!$B$2+G15*PARAMETRES!$B$3+H15*PARAMETRES!$B$4+I15*PARAMETRES!$B$5+J15*PARAMETRES!$B$6+K15*PARAMETRES!$B$7)/5,0)</x:f>
        <x:v>78</x:v>
      </x:c>
      <x:c r="M15" s="14" t="str">
        <x:f>IF(L15&gt;=PARAMETRES!$B$9,"HAUTE",IF(L15&gt;=PARAMETRES!$B$10,"MOYENNE","BASSE"))</x:f>
        <x:v>HAUTE</x:v>
      </x:c>
      <x:c r="N15" t="str">
        <x:f>IF(H15&gt;=4,"Similarité historique forte; ","")&amp;IF(G15&gt;=4,"Récurrence élevée; ","")&amp;IF(I15&gt;=4,"Avis ancien/reporté; ","")&amp;IF(F15&gt;=4,"Equipement critique; ","")</x:f>
        <x:v>Similarité historique forte; Equipement critique; </x:v>
      </x:c>
      <x:c r="O15" t="str">
        <x:v>À vérifier</x:v>
      </x:c>
      <x:c r="P15" t="str">
        <x:v>Hypothèse test : notes saisies manuellement, pas de prédiction IA</x:v>
      </x:c>
      <x:c r="Q15" t="n">
        <x:f>L15+(1000-15)/100000</x:f>
        <x:v>78.00985</x:v>
      </x:c>
    </x:row>
    <x:row r="16" ht="23" customHeight="1">
      <x:c r="A16" t="str">
        <x:v>AV-1015</x:v>
      </x:c>
      <x:c r="B16" t="str">
        <x:v>E03</x:v>
      </x:c>
      <x:c r="C16" t="str">
        <x:v>Débit irrégulier</x:v>
      </x:c>
      <x:c r="D16" t="str">
        <x:v>2025-07-17</x:v>
      </x:c>
      <x:c r="E16" t="str">
        <x:v>En attente</x:v>
      </x:c>
      <x:c r="F16" s="12" t="n">
        <x:v>4</x:v>
      </x:c>
      <x:c r="G16" s="12" t="n">
        <x:v>3</x:v>
      </x:c>
      <x:c r="H16" s="12" t="n">
        <x:v>5</x:v>
      </x:c>
      <x:c r="I16" s="12" t="n">
        <x:v>3</x:v>
      </x:c>
      <x:c r="J16" s="12" t="n">
        <x:v>3</x:v>
      </x:c>
      <x:c r="K16" s="12" t="n">
        <x:v>5</x:v>
      </x:c>
      <x:c r="L16" s="14" t="n">
        <x:f>ROUND((F16*PARAMETRES!$B$2+G16*PARAMETRES!$B$3+H16*PARAMETRES!$B$4+I16*PARAMETRES!$B$5+J16*PARAMETRES!$B$6+K16*PARAMETRES!$B$7)/5,0)</x:f>
        <x:v>77</x:v>
      </x:c>
      <x:c r="M16" s="14" t="str">
        <x:f>IF(L16&gt;=PARAMETRES!$B$9,"HAUTE",IF(L16&gt;=PARAMETRES!$B$10,"MOYENNE","BASSE"))</x:f>
        <x:v>HAUTE</x:v>
      </x:c>
      <x:c r="N16" t="str">
        <x:f>IF(H16&gt;=4,"Similarité historique forte; ","")&amp;IF(G16&gt;=4,"Récurrence élevée; ","")&amp;IF(I16&gt;=4,"Avis ancien/reporté; ","")&amp;IF(F16&gt;=4,"Equipement critique; ","")</x:f>
        <x:v>Similarité historique forte; Equipement critique; </x:v>
      </x:c>
      <x:c r="O16" t="str">
        <x:v>À vérifier</x:v>
      </x:c>
      <x:c r="P16" t="str">
        <x:v>Hypothèse test : notes saisies manuellement, pas de prédiction IA</x:v>
      </x:c>
      <x:c r="Q16" t="n">
        <x:f>L16+(1000-16)/100000</x:f>
        <x:v>77.00984</x:v>
      </x:c>
    </x:row>
    <x:row r="17" ht="23" customHeight="1">
      <x:c r="A17" t="str">
        <x:v>AV-1016</x:v>
      </x:c>
      <x:c r="B17" t="str">
        <x:v>E04</x:v>
      </x:c>
      <x:c r="C17" t="str">
        <x:v>Jeu mécanique observé</x:v>
      </x:c>
      <x:c r="D17" t="str">
        <x:v>2025-08-03</x:v>
      </x:c>
      <x:c r="E17" t="str">
        <x:v>Clôturé</x:v>
      </x:c>
      <x:c r="F17" s="12" t="n">
        <x:v>4</x:v>
      </x:c>
      <x:c r="G17" s="12" t="n">
        <x:v>1</x:v>
      </x:c>
      <x:c r="H17" s="12" t="n">
        <x:v>4</x:v>
      </x:c>
      <x:c r="I17" s="12" t="n">
        <x:v>3</x:v>
      </x:c>
      <x:c r="J17" s="12" t="n">
        <x:v>2</x:v>
      </x:c>
      <x:c r="K17" s="12" t="n">
        <x:v>2</x:v>
      </x:c>
      <x:c r="L17" s="14" t="n">
        <x:f>ROUND((F17*PARAMETRES!$B$2+G17*PARAMETRES!$B$3+H17*PARAMETRES!$B$4+I17*PARAMETRES!$B$5+J17*PARAMETRES!$B$6+K17*PARAMETRES!$B$7)/5,0)</x:f>
        <x:v>57</x:v>
      </x:c>
      <x:c r="M17" s="14" t="str">
        <x:f>IF(L17&gt;=PARAMETRES!$B$9,"HAUTE",IF(L17&gt;=PARAMETRES!$B$10,"MOYENNE","BASSE"))</x:f>
        <x:v>MOYENNE</x:v>
      </x:c>
      <x:c r="N17" t="str">
        <x:f>IF(H17&gt;=4,"Similarité historique forte; ","")&amp;IF(G17&gt;=4,"Récurrence élevée; ","")&amp;IF(I17&gt;=4,"Avis ancien/reporté; ","")&amp;IF(F17&gt;=4,"Equipement critique; ","")</x:f>
        <x:v>Similarité historique forte; Equipement critique; </x:v>
      </x:c>
      <x:c r="O17" t="str">
        <x:v>À vérifier</x:v>
      </x:c>
      <x:c r="P17" t="str">
        <x:v>Hypothèse test : notes saisies manuellement, pas de prédiction IA</x:v>
      </x:c>
      <x:c r="Q17" t="n">
        <x:f>L17+(1000-17)/100000</x:f>
        <x:v>57.00983</x:v>
      </x:c>
    </x:row>
    <x:row r="18" ht="23" customHeight="1">
      <x:c r="A18" t="str">
        <x:v>AV-1017</x:v>
      </x:c>
      <x:c r="B18" t="str">
        <x:v>E05</x:v>
      </x:c>
      <x:c r="C18" t="str">
        <x:v>Fuite d’huile progressive</x:v>
      </x:c>
      <x:c r="D18" t="str">
        <x:v>2025-08-15</x:v>
      </x:c>
      <x:c r="E18" t="str">
        <x:v>En attente</x:v>
      </x:c>
      <x:c r="F18" s="12" t="n">
        <x:v>4</x:v>
      </x:c>
      <x:c r="G18" s="12" t="n">
        <x:v>4</x:v>
      </x:c>
      <x:c r="H18" s="12" t="n">
        <x:v>2</x:v>
      </x:c>
      <x:c r="I18" s="12" t="n">
        <x:v>3</x:v>
      </x:c>
      <x:c r="J18" s="12" t="n">
        <x:v>3</x:v>
      </x:c>
      <x:c r="K18" s="12" t="n">
        <x:v>4</x:v>
      </x:c>
      <x:c r="L18" s="14" t="n">
        <x:f>ROUND((F18*PARAMETRES!$B$2+G18*PARAMETRES!$B$3+H18*PARAMETRES!$B$4+I18*PARAMETRES!$B$5+J18*PARAMETRES!$B$6+K18*PARAMETRES!$B$7)/5,0)</x:f>
        <x:v>67</x:v>
      </x:c>
      <x:c r="M18" s="14" t="str">
        <x:f>IF(L18&gt;=PARAMETRES!$B$9,"HAUTE",IF(L18&gt;=PARAMETRES!$B$10,"MOYENNE","BASSE"))</x:f>
        <x:v>MOYENNE</x:v>
      </x:c>
      <x:c r="N18" t="str">
        <x:f>IF(H18&gt;=4,"Similarité historique forte; ","")&amp;IF(G18&gt;=4,"Récurrence élevée; ","")&amp;IF(I18&gt;=4,"Avis ancien/reporté; ","")&amp;IF(F18&gt;=4,"Equipement critique; ","")</x:f>
        <x:v>Récurrence élevée; Equipement critique; </x:v>
      </x:c>
      <x:c r="O18" t="str">
        <x:v>À vérifier</x:v>
      </x:c>
      <x:c r="P18" t="str">
        <x:v>Hypothèse test : notes saisies manuellement, pas de prédiction IA</x:v>
      </x:c>
      <x:c r="Q18" t="n">
        <x:f>L18+(1000-18)/100000</x:f>
        <x:v>67.00982</x:v>
      </x:c>
    </x:row>
    <x:row r="19" ht="23" customHeight="1">
      <x:c r="A19" t="str">
        <x:v>AV-1018</x:v>
      </x:c>
      <x:c r="B19" t="str">
        <x:v>E06</x:v>
      </x:c>
      <x:c r="C19" t="str">
        <x:v>Vibration inhabituelle</x:v>
      </x:c>
      <x:c r="D19" t="str">
        <x:v>2025-08-31</x:v>
      </x:c>
      <x:c r="E19" t="str">
        <x:v>En attente</x:v>
      </x:c>
      <x:c r="F19" s="12" t="n">
        <x:v>3</x:v>
      </x:c>
      <x:c r="G19" s="12" t="n">
        <x:v>1</x:v>
      </x:c>
      <x:c r="H19" s="12" t="n">
        <x:v>2</x:v>
      </x:c>
      <x:c r="I19" s="12" t="n">
        <x:v>0</x:v>
      </x:c>
      <x:c r="J19" s="12" t="n">
        <x:v>3</x:v>
      </x:c>
      <x:c r="K19" s="12" t="n">
        <x:v>1</x:v>
      </x:c>
      <x:c r="L19" s="14" t="n">
        <x:f>ROUND((F19*PARAMETRES!$B$2+G19*PARAMETRES!$B$3+H19*PARAMETRES!$B$4+I19*PARAMETRES!$B$5+J19*PARAMETRES!$B$6+K19*PARAMETRES!$B$7)/5,0)</x:f>
        <x:v>35</x:v>
      </x:c>
      <x:c r="M19" s="14" t="str">
        <x:f>IF(L19&gt;=PARAMETRES!$B$9,"HAUTE",IF(L19&gt;=PARAMETRES!$B$10,"MOYENNE","BASSE"))</x:f>
        <x:v>BASSE</x:v>
      </x:c>
      <x:c r="N19" t="str">
        <x:f>IF(H19&gt;=4,"Similarité historique forte; ","")&amp;IF(G19&gt;=4,"Récurrence élevée; ","")&amp;IF(I19&gt;=4,"Avis ancien/reporté; ","")&amp;IF(F19&gt;=4,"Equipement critique; ","")</x:f>
      </x:c>
      <x:c r="O19" t="str">
        <x:v>À vérifier</x:v>
      </x:c>
      <x:c r="P19" t="str">
        <x:v>Hypothèse test : notes saisies manuellement, pas de prédiction IA</x:v>
      </x:c>
      <x:c r="Q19" t="n">
        <x:f>L19+(1000-19)/100000</x:f>
        <x:v>35.00981</x:v>
      </x:c>
    </x:row>
    <x:row r="20" ht="23" customHeight="1">
      <x:c r="A20" t="str">
        <x:v>AV-1019</x:v>
      </x:c>
      <x:c r="B20" t="str">
        <x:v>E07</x:v>
      </x:c>
      <x:c r="C20" t="str">
        <x:v>Bruit intermittent</x:v>
      </x:c>
      <x:c r="D20" t="str">
        <x:v>2025-09-13</x:v>
      </x:c>
      <x:c r="E20" t="str">
        <x:v>Clôturé</x:v>
      </x:c>
      <x:c r="F20" s="12" t="n">
        <x:v>5</x:v>
      </x:c>
      <x:c r="G20" s="12" t="n">
        <x:v>3</x:v>
      </x:c>
      <x:c r="H20" s="12" t="n">
        <x:v>2</x:v>
      </x:c>
      <x:c r="I20" s="12" t="n">
        <x:v>2</x:v>
      </x:c>
      <x:c r="J20" s="12" t="n">
        <x:v>3</x:v>
      </x:c>
      <x:c r="K20" s="12" t="n">
        <x:v>4</x:v>
      </x:c>
      <x:c r="L20" s="14" t="n">
        <x:f>ROUND((F20*PARAMETRES!$B$2+G20*PARAMETRES!$B$3+H20*PARAMETRES!$B$4+I20*PARAMETRES!$B$5+J20*PARAMETRES!$B$6+K20*PARAMETRES!$B$7)/5,0)</x:f>
        <x:v>65</x:v>
      </x:c>
      <x:c r="M20" s="14" t="str">
        <x:f>IF(L20&gt;=PARAMETRES!$B$9,"HAUTE",IF(L20&gt;=PARAMETRES!$B$10,"MOYENNE","BASSE"))</x:f>
        <x:v>MOYENNE</x:v>
      </x:c>
      <x:c r="N20" t="str">
        <x:f>IF(H20&gt;=4,"Similarité historique forte; ","")&amp;IF(G20&gt;=4,"Récurrence élevée; ","")&amp;IF(I20&gt;=4,"Avis ancien/reporté; ","")&amp;IF(F20&gt;=4,"Equipement critique; ","")</x:f>
        <x:v>Equipement critique; </x:v>
      </x:c>
      <x:c r="O20" t="str">
        <x:v>À vérifier</x:v>
      </x:c>
      <x:c r="P20" t="str">
        <x:v>Hypothèse test : notes saisies manuellement, pas de prédiction IA</x:v>
      </x:c>
      <x:c r="Q20" t="n">
        <x:f>L20+(1000-20)/100000</x:f>
        <x:v>65.0098</x:v>
      </x:c>
    </x:row>
    <x:row r="21" ht="23" customHeight="1">
      <x:c r="A21" t="str">
        <x:v>AV-1020</x:v>
      </x:c>
      <x:c r="B21" t="str">
        <x:v>E08</x:v>
      </x:c>
      <x:c r="C21" t="str">
        <x:v>Température élevée</x:v>
      </x:c>
      <x:c r="D21" t="str">
        <x:v>2025-09-28</x:v>
      </x:c>
      <x:c r="E21" t="str">
        <x:v>En attente</x:v>
      </x:c>
      <x:c r="F21" s="12" t="n">
        <x:v>3</x:v>
      </x:c>
      <x:c r="G21" s="12" t="n">
        <x:v>4</x:v>
      </x:c>
      <x:c r="H21" s="12" t="n">
        <x:v>3</x:v>
      </x:c>
      <x:c r="I21" s="12" t="n">
        <x:v>0</x:v>
      </x:c>
      <x:c r="J21" s="12" t="n">
        <x:v>3</x:v>
      </x:c>
      <x:c r="K21" s="12" t="n">
        <x:v>0</x:v>
      </x:c>
      <x:c r="L21" s="14" t="n">
        <x:f>ROUND((F21*PARAMETRES!$B$2+G21*PARAMETRES!$B$3+H21*PARAMETRES!$B$4+I21*PARAMETRES!$B$5+J21*PARAMETRES!$B$6+K21*PARAMETRES!$B$7)/5,0)</x:f>
        <x:v>49</x:v>
      </x:c>
      <x:c r="M21" s="14" t="str">
        <x:f>IF(L21&gt;=PARAMETRES!$B$9,"HAUTE",IF(L21&gt;=PARAMETRES!$B$10,"MOYENNE","BASSE"))</x:f>
        <x:v>BASSE</x:v>
      </x:c>
      <x:c r="N21" t="str">
        <x:f>IF(H21&gt;=4,"Similarité historique forte; ","")&amp;IF(G21&gt;=4,"Récurrence élevée; ","")&amp;IF(I21&gt;=4,"Avis ancien/reporté; ","")&amp;IF(F21&gt;=4,"Equipement critique; ","")</x:f>
        <x:v>Récurrence élevée; </x:v>
      </x:c>
      <x:c r="O21" t="str">
        <x:v>À vérifier</x:v>
      </x:c>
      <x:c r="P21" t="str">
        <x:v>Hypothèse test : notes saisies manuellement, pas de prédiction IA</x:v>
      </x:c>
      <x:c r="Q21" t="n">
        <x:f>L21+(1000-21)/100000</x:f>
        <x:v>49.00979</x:v>
      </x:c>
    </x:row>
    <x:row r="22" ht="23" customHeight="1">
      <x:c r="A22" t="str">
        <x:v>AV-1021</x:v>
      </x:c>
      <x:c r="B22" t="str">
        <x:v>E09</x:v>
      </x:c>
      <x:c r="C22" t="str">
        <x:v>Pression instable</x:v>
      </x:c>
      <x:c r="D22" t="str">
        <x:v>2025-10-09</x:v>
      </x:c>
      <x:c r="E22" t="str">
        <x:v>En attente</x:v>
      </x:c>
      <x:c r="F22" s="12" t="n">
        <x:v>3</x:v>
      </x:c>
      <x:c r="G22" s="12" t="n">
        <x:v>1</x:v>
      </x:c>
      <x:c r="H22" s="12" t="n">
        <x:v>2</x:v>
      </x:c>
      <x:c r="I22" s="12" t="n">
        <x:v>3</x:v>
      </x:c>
      <x:c r="J22" s="12" t="n">
        <x:v>3</x:v>
      </x:c>
      <x:c r="K22" s="12" t="n">
        <x:v>4</x:v>
      </x:c>
      <x:c r="L22" s="14" t="n">
        <x:f>ROUND((F22*PARAMETRES!$B$2+G22*PARAMETRES!$B$3+H22*PARAMETRES!$B$4+I22*PARAMETRES!$B$5+J22*PARAMETRES!$B$6+K22*PARAMETRES!$B$7)/5,0)</x:f>
        <x:v>50</x:v>
      </x:c>
      <x:c r="M22" s="14" t="str">
        <x:f>IF(L22&gt;=PARAMETRES!$B$9,"HAUTE",IF(L22&gt;=PARAMETRES!$B$10,"MOYENNE","BASSE"))</x:f>
        <x:v>MOYENNE</x:v>
      </x:c>
      <x:c r="N22" t="str">
        <x:f>IF(H22&gt;=4,"Similarité historique forte; ","")&amp;IF(G22&gt;=4,"Récurrence élevée; ","")&amp;IF(I22&gt;=4,"Avis ancien/reporté; ","")&amp;IF(F22&gt;=4,"Equipement critique; ","")</x:f>
      </x:c>
      <x:c r="O22" t="str">
        <x:v>À vérifier</x:v>
      </x:c>
      <x:c r="P22" t="str">
        <x:v>Hypothèse test : notes saisies manuellement, pas de prédiction IA</x:v>
      </x:c>
      <x:c r="Q22" t="n">
        <x:f>L22+(1000-22)/100000</x:f>
        <x:v>50.00978</x:v>
      </x:c>
    </x:row>
    <x:row r="23" ht="23" customHeight="1">
      <x:c r="A23" t="str">
        <x:v>AV-1022</x:v>
      </x:c>
      <x:c r="B23" t="str">
        <x:v>E10</x:v>
      </x:c>
      <x:c r="C23" t="str">
        <x:v>Défaut capteur intermittent</x:v>
      </x:c>
      <x:c r="D23" t="str">
        <x:v>2025-10-24</x:v>
      </x:c>
      <x:c r="E23" t="str">
        <x:v>Clôturé</x:v>
      </x:c>
      <x:c r="F23" s="12" t="n">
        <x:v>4</x:v>
      </x:c>
      <x:c r="G23" s="12" t="n">
        <x:v>4</x:v>
      </x:c>
      <x:c r="H23" s="12" t="n">
        <x:v>5</x:v>
      </x:c>
      <x:c r="I23" s="12" t="n">
        <x:v>3</x:v>
      </x:c>
      <x:c r="J23" s="12" t="n">
        <x:v>4</x:v>
      </x:c>
      <x:c r="K23" s="12" t="n">
        <x:v>0</x:v>
      </x:c>
      <x:c r="L23" s="14" t="n">
        <x:f>ROUND((F23*PARAMETRES!$B$2+G23*PARAMETRES!$B$3+H23*PARAMETRES!$B$4+I23*PARAMETRES!$B$5+J23*PARAMETRES!$B$6+K23*PARAMETRES!$B$7)/5,0)</x:f>
        <x:v>73</x:v>
      </x:c>
      <x:c r="M23" s="14" t="str">
        <x:f>IF(L23&gt;=PARAMETRES!$B$9,"HAUTE",IF(L23&gt;=PARAMETRES!$B$10,"MOYENNE","BASSE"))</x:f>
        <x:v>MOYENNE</x:v>
      </x:c>
      <x:c r="N23" t="str">
        <x:f>IF(H23&gt;=4,"Similarité historique forte; ","")&amp;IF(G23&gt;=4,"Récurrence élevée; ","")&amp;IF(I23&gt;=4,"Avis ancien/reporté; ","")&amp;IF(F23&gt;=4,"Equipement critique; ","")</x:f>
        <x:v>Similarité historique forte; Récurrence élevée; Equipement critique; </x:v>
      </x:c>
      <x:c r="O23" t="str">
        <x:v>À vérifier</x:v>
      </x:c>
      <x:c r="P23" t="str">
        <x:v>Hypothèse test : notes saisies manuellement, pas de prédiction IA</x:v>
      </x:c>
      <x:c r="Q23" t="n">
        <x:f>L23+(1000-23)/100000</x:f>
        <x:v>73.00977</x:v>
      </x:c>
    </x:row>
    <x:row r="24" ht="23" customHeight="1">
      <x:c r="A24" t="str">
        <x:v>AV-1023</x:v>
      </x:c>
      <x:c r="B24" t="str">
        <x:v>E11</x:v>
      </x:c>
      <x:c r="C24" t="str">
        <x:v>Débit irrégulier</x:v>
      </x:c>
      <x:c r="D24" t="str">
        <x:v>2025-11-07</x:v>
      </x:c>
      <x:c r="E24" t="str">
        <x:v>En attente</x:v>
      </x:c>
      <x:c r="F24" s="12" t="n">
        <x:v>3</x:v>
      </x:c>
      <x:c r="G24" s="12" t="n">
        <x:v>3</x:v>
      </x:c>
      <x:c r="H24" s="12" t="n">
        <x:v>5</x:v>
      </x:c>
      <x:c r="I24" s="12" t="n">
        <x:v>0</x:v>
      </x:c>
      <x:c r="J24" s="12" t="n">
        <x:v>4</x:v>
      </x:c>
      <x:c r="K24" s="12" t="n">
        <x:v>4</x:v>
      </x:c>
      <x:c r="L24" s="14" t="n">
        <x:f>ROUND((F24*PARAMETRES!$B$2+G24*PARAMETRES!$B$3+H24*PARAMETRES!$B$4+I24*PARAMETRES!$B$5+J24*PARAMETRES!$B$6+K24*PARAMETRES!$B$7)/5,0)</x:f>
        <x:v>63</x:v>
      </x:c>
      <x:c r="M24" s="14" t="str">
        <x:f>IF(L24&gt;=PARAMETRES!$B$9,"HAUTE",IF(L24&gt;=PARAMETRES!$B$10,"MOYENNE","BASSE"))</x:f>
        <x:v>MOYENNE</x:v>
      </x:c>
      <x:c r="N24" t="str">
        <x:f>IF(H24&gt;=4,"Similarité historique forte; ","")&amp;IF(G24&gt;=4,"Récurrence élevée; ","")&amp;IF(I24&gt;=4,"Avis ancien/reporté; ","")&amp;IF(F24&gt;=4,"Equipement critique; ","")</x:f>
        <x:v>Similarité historique forte; </x:v>
      </x:c>
      <x:c r="O24" t="str">
        <x:v>À vérifier</x:v>
      </x:c>
      <x:c r="P24" t="str">
        <x:v>Hypothèse test : notes saisies manuellement, pas de prédiction IA</x:v>
      </x:c>
      <x:c r="Q24" t="n">
        <x:f>L24+(1000-24)/100000</x:f>
        <x:v>63.00976</x:v>
      </x:c>
    </x:row>
    <x:row r="25" ht="23" customHeight="1">
      <x:c r="A25" t="str">
        <x:v>AV-1024</x:v>
      </x:c>
      <x:c r="B25" t="str">
        <x:v>E12</x:v>
      </x:c>
      <x:c r="C25" t="str">
        <x:v>Jeu mécanique observé</x:v>
      </x:c>
      <x:c r="D25" t="str">
        <x:v>2025-11-23</x:v>
      </x:c>
      <x:c r="E25" t="str">
        <x:v>En attente</x:v>
      </x:c>
      <x:c r="F25" s="12" t="n">
        <x:v>5</x:v>
      </x:c>
      <x:c r="G25" s="12" t="n">
        <x:v>4</x:v>
      </x:c>
      <x:c r="H25" s="12" t="n">
        <x:v>3</x:v>
      </x:c>
      <x:c r="I25" s="12" t="n">
        <x:v>4</x:v>
      </x:c>
      <x:c r="J25" s="12" t="n">
        <x:v>4</x:v>
      </x:c>
      <x:c r="K25" s="12" t="n">
        <x:v>0</x:v>
      </x:c>
      <x:c r="L25" s="14" t="n">
        <x:f>ROUND((F25*PARAMETRES!$B$2+G25*PARAMETRES!$B$3+H25*PARAMETRES!$B$4+I25*PARAMETRES!$B$5+J25*PARAMETRES!$B$6+K25*PARAMETRES!$B$7)/5,0)</x:f>
        <x:v>73</x:v>
      </x:c>
      <x:c r="M25" s="14" t="str">
        <x:f>IF(L25&gt;=PARAMETRES!$B$9,"HAUTE",IF(L25&gt;=PARAMETRES!$B$10,"MOYENNE","BASSE"))</x:f>
        <x:v>MOYENNE</x:v>
      </x:c>
      <x:c r="N25" t="str">
        <x:f>IF(H25&gt;=4,"Similarité historique forte; ","")&amp;IF(G25&gt;=4,"Récurrence élevée; ","")&amp;IF(I25&gt;=4,"Avis ancien/reporté; ","")&amp;IF(F25&gt;=4,"Equipement critique; ","")</x:f>
        <x:v>Récurrence élevée; Avis ancien/reporté; Equipement critique; </x:v>
      </x:c>
      <x:c r="O25" t="str">
        <x:v>À vérifier</x:v>
      </x:c>
      <x:c r="P25" t="str">
        <x:v>Hypothèse test : notes saisies manuellement, pas de prédiction IA</x:v>
      </x:c>
      <x:c r="Q25" t="n">
        <x:f>L25+(1000-25)/100000</x:f>
        <x:v>73.00975</x:v>
      </x:c>
    </x:row>
    <x:row r="26" ht="23" customHeight="1">
      <x:c r="A26" t="str">
        <x:v>AV-1025</x:v>
      </x:c>
      <x:c r="B26" t="str">
        <x:v>E01</x:v>
      </x:c>
      <x:c r="C26" t="str">
        <x:v>Fuite d’huile progressive</x:v>
      </x:c>
      <x:c r="D26" t="str">
        <x:v>2025-05-01</x:v>
      </x:c>
      <x:c r="E26" t="str">
        <x:v>Clôturé</x:v>
      </x:c>
      <x:c r="F26" s="12" t="n">
        <x:v>5</x:v>
      </x:c>
      <x:c r="G26" s="12" t="n">
        <x:v>1</x:v>
      </x:c>
      <x:c r="H26" s="12" t="n">
        <x:v>2</x:v>
      </x:c>
      <x:c r="I26" s="12" t="n">
        <x:v>4</x:v>
      </x:c>
      <x:c r="J26" s="12" t="n">
        <x:v>0</x:v>
      </x:c>
      <x:c r="K26" s="12" t="n">
        <x:v>0</x:v>
      </x:c>
      <x:c r="L26" s="14" t="n">
        <x:f>ROUND((F26*PARAMETRES!$B$2+G26*PARAMETRES!$B$3+H26*PARAMETRES!$B$4+I26*PARAMETRES!$B$5+J26*PARAMETRES!$B$6+K26*PARAMETRES!$B$7)/5,0)</x:f>
        <x:v>49</x:v>
      </x:c>
      <x:c r="M26" s="14" t="str">
        <x:f>IF(L26&gt;=PARAMETRES!$B$9,"HAUTE",IF(L26&gt;=PARAMETRES!$B$10,"MOYENNE","BASSE"))</x:f>
        <x:v>BASSE</x:v>
      </x:c>
      <x:c r="N26" t="str">
        <x:f>IF(H26&gt;=4,"Similarité historique forte; ","")&amp;IF(G26&gt;=4,"Récurrence élevée; ","")&amp;IF(I26&gt;=4,"Avis ancien/reporté; ","")&amp;IF(F26&gt;=4,"Equipement critique; ","")</x:f>
        <x:v>Avis ancien/reporté; Equipement critique; </x:v>
      </x:c>
      <x:c r="O26" t="str">
        <x:v>À vérifier</x:v>
      </x:c>
      <x:c r="P26" t="str">
        <x:v>Hypothèse test : notes saisies manuellement, pas de prédiction IA</x:v>
      </x:c>
      <x:c r="Q26" t="n">
        <x:f>L26+(1000-26)/100000</x:f>
        <x:v>49.00974</x:v>
      </x:c>
    </x:row>
    <x:row r="27" ht="23" customHeight="1">
      <x:c r="A27" t="str">
        <x:v>AV-1026</x:v>
      </x:c>
      <x:c r="B27" t="str">
        <x:v>E08</x:v>
      </x:c>
      <x:c r="C27" t="str">
        <x:v>Température élevée</x:v>
      </x:c>
      <x:c r="D27" t="str">
        <x:v>2025-05-08</x:v>
      </x:c>
      <x:c r="E27" t="str">
        <x:v>Ouvert</x:v>
      </x:c>
      <x:c r="F27" s="12" t="n">
        <x:v>3</x:v>
      </x:c>
      <x:c r="G27" s="12" t="n">
        <x:v>1</x:v>
      </x:c>
      <x:c r="H27" s="12" t="n">
        <x:v>1</x:v>
      </x:c>
      <x:c r="I27" s="12" t="n">
        <x:v>3</x:v>
      </x:c>
      <x:c r="J27" s="12" t="n">
        <x:v>4</x:v>
      </x:c>
      <x:c r="K27" s="12" t="n">
        <x:v>1</x:v>
      </x:c>
      <x:c r="L27" s="14" t="n">
        <x:f>ROUND((F27*PARAMETRES!$B$2+G27*PARAMETRES!$B$3+H27*PARAMETRES!$B$4+I27*PARAMETRES!$B$5+J27*PARAMETRES!$B$6+K27*PARAMETRES!$B$7)/5,0)</x:f>
        <x:v>42</x:v>
      </x:c>
      <x:c r="M27" s="14" t="str">
        <x:f>IF(L27&gt;=PARAMETRES!$B$9,"HAUTE",IF(L27&gt;=PARAMETRES!$B$10,"MOYENNE","BASSE"))</x:f>
        <x:v>BASSE</x:v>
      </x:c>
      <x:c r="N27" t="str">
        <x:f>IF(H27&gt;=4,"Similarité historique forte; ","")&amp;IF(G27&gt;=4,"Récurrence élevée; ","")&amp;IF(I27&gt;=4,"Avis ancien/reporté; ","")&amp;IF(F27&gt;=4,"Equipement critique; ","")</x:f>
      </x:c>
      <x:c r="O27" t="str">
        <x:v>À vérifier</x:v>
      </x:c>
      <x:c r="P27" t="str">
        <x:v>Hypothèse test : notes saisies manuellement, pas de prédiction IA</x:v>
      </x:c>
      <x:c r="Q27" t="n">
        <x:f>L27+(1000-27)/100000</x:f>
        <x:v>42.00973</x:v>
      </x:c>
    </x:row>
    <x:row r="28" ht="23" customHeight="1">
      <x:c r="A28" t="str">
        <x:v>AV-1027</x:v>
      </x:c>
      <x:c r="B28" t="str">
        <x:v>E03</x:v>
      </x:c>
      <x:c r="C28" t="str">
        <x:v>Débit irrégulier</x:v>
      </x:c>
      <x:c r="D28" t="str">
        <x:v>2025-05-12</x:v>
      </x:c>
      <x:c r="E28" t="str">
        <x:v>Ouvert</x:v>
      </x:c>
      <x:c r="F28" s="12" t="n">
        <x:v>4</x:v>
      </x:c>
      <x:c r="G28" s="12" t="n">
        <x:v>1</x:v>
      </x:c>
      <x:c r="H28" s="12" t="n">
        <x:v>2</x:v>
      </x:c>
      <x:c r="I28" s="12" t="n">
        <x:v>3</x:v>
      </x:c>
      <x:c r="J28" s="12" t="n">
        <x:v>0</x:v>
      </x:c>
      <x:c r="K28" s="12" t="n">
        <x:v>2</x:v>
      </x:c>
      <x:c r="L28" s="14" t="n">
        <x:f>ROUND((F28*PARAMETRES!$B$2+G28*PARAMETRES!$B$3+H28*PARAMETRES!$B$4+I28*PARAMETRES!$B$5+J28*PARAMETRES!$B$6+K28*PARAMETRES!$B$7)/5,0)</x:f>
        <x:v>45</x:v>
      </x:c>
      <x:c r="M28" s="14" t="str">
        <x:f>IF(L28&gt;=PARAMETRES!$B$9,"HAUTE",IF(L28&gt;=PARAMETRES!$B$10,"MOYENNE","BASSE"))</x:f>
        <x:v>BASSE</x:v>
      </x:c>
      <x:c r="N28" t="str">
        <x:f>IF(H28&gt;=4,"Similarité historique forte; ","")&amp;IF(G28&gt;=4,"Récurrence élevée; ","")&amp;IF(I28&gt;=4,"Avis ancien/reporté; ","")&amp;IF(F28&gt;=4,"Equipement critique; ","")</x:f>
        <x:v>Equipement critique; </x:v>
      </x:c>
      <x:c r="O28" t="str">
        <x:v>À vérifier</x:v>
      </x:c>
      <x:c r="P28" t="str">
        <x:v>Hypothèse test : notes saisies manuellement, pas de prédiction IA</x:v>
      </x:c>
      <x:c r="Q28" t="n">
        <x:f>L28+(1000-28)/100000</x:f>
        <x:v>45.00972</x:v>
      </x:c>
    </x:row>
    <x:row r="29" ht="23" customHeight="1">
      <x:c r="A29" t="str">
        <x:v>AV-1028</x:v>
      </x:c>
      <x:c r="B29" t="str">
        <x:v>E10</x:v>
      </x:c>
      <x:c r="C29" t="str">
        <x:v>Vibration inhabituelle</x:v>
      </x:c>
      <x:c r="D29" t="str">
        <x:v>2025-05-16</x:v>
      </x:c>
      <x:c r="E29" t="str">
        <x:v>Clôturé</x:v>
      </x:c>
      <x:c r="F29" s="12" t="n">
        <x:v>4</x:v>
      </x:c>
      <x:c r="G29" s="12" t="n">
        <x:v>4</x:v>
      </x:c>
      <x:c r="H29" s="12" t="n">
        <x:v>3</x:v>
      </x:c>
      <x:c r="I29" s="12" t="n">
        <x:v>1</x:v>
      </x:c>
      <x:c r="J29" s="12" t="n">
        <x:v>4</x:v>
      </x:c>
      <x:c r="K29" s="12" t="n">
        <x:v>4</x:v>
      </x:c>
      <x:c r="L29" s="14" t="n">
        <x:f>ROUND((F29*PARAMETRES!$B$2+G29*PARAMETRES!$B$3+H29*PARAMETRES!$B$4+I29*PARAMETRES!$B$5+J29*PARAMETRES!$B$6+K29*PARAMETRES!$B$7)/5,0)</x:f>
        <x:v>67</x:v>
      </x:c>
      <x:c r="M29" s="14" t="str">
        <x:f>IF(L29&gt;=PARAMETRES!$B$9,"HAUTE",IF(L29&gt;=PARAMETRES!$B$10,"MOYENNE","BASSE"))</x:f>
        <x:v>MOYENNE</x:v>
      </x:c>
      <x:c r="N29" t="str">
        <x:f>IF(H29&gt;=4,"Similarité historique forte; ","")&amp;IF(G29&gt;=4,"Récurrence élevée; ","")&amp;IF(I29&gt;=4,"Avis ancien/reporté; ","")&amp;IF(F29&gt;=4,"Equipement critique; ","")</x:f>
        <x:v>Récurrence élevée; Equipement critique; </x:v>
      </x:c>
      <x:c r="O29" t="str">
        <x:v>À vérifier</x:v>
      </x:c>
      <x:c r="P29" t="str">
        <x:v>Hypothèse test : notes saisies manuellement, pas de prédiction IA</x:v>
      </x:c>
      <x:c r="Q29" t="n">
        <x:f>L29+(1000-29)/100000</x:f>
        <x:v>67.00971</x:v>
      </x:c>
    </x:row>
    <x:row r="30" ht="23" customHeight="1">
      <x:c r="A30" t="str">
        <x:v>AV-1029</x:v>
      </x:c>
      <x:c r="B30" t="str">
        <x:v>E05</x:v>
      </x:c>
      <x:c r="C30" t="str">
        <x:v>Pression instable</x:v>
      </x:c>
      <x:c r="D30" t="str">
        <x:v>2025-05-23</x:v>
      </x:c>
      <x:c r="E30" t="str">
        <x:v>Ouvert</x:v>
      </x:c>
      <x:c r="F30" s="12" t="n">
        <x:v>4</x:v>
      </x:c>
      <x:c r="G30" s="12" t="n">
        <x:v>0</x:v>
      </x:c>
      <x:c r="H30" s="12" t="n">
        <x:v>4</x:v>
      </x:c>
      <x:c r="I30" s="12" t="n">
        <x:v>4</x:v>
      </x:c>
      <x:c r="J30" s="12" t="n">
        <x:v>2</x:v>
      </x:c>
      <x:c r="K30" s="12" t="n">
        <x:v>4</x:v>
      </x:c>
      <x:c r="L30" s="14" t="n">
        <x:f>ROUND((F30*PARAMETRES!$B$2+G30*PARAMETRES!$B$3+H30*PARAMETRES!$B$4+I30*PARAMETRES!$B$5+J30*PARAMETRES!$B$6+K30*PARAMETRES!$B$7)/5,0)</x:f>
        <x:v>60</x:v>
      </x:c>
      <x:c r="M30" s="14" t="str">
        <x:f>IF(L30&gt;=PARAMETRES!$B$9,"HAUTE",IF(L30&gt;=PARAMETRES!$B$10,"MOYENNE","BASSE"))</x:f>
        <x:v>MOYENNE</x:v>
      </x:c>
      <x:c r="N30" t="str">
        <x:f>IF(H30&gt;=4,"Similarité historique forte; ","")&amp;IF(G30&gt;=4,"Récurrence élevée; ","")&amp;IF(I30&gt;=4,"Avis ancien/reporté; ","")&amp;IF(F30&gt;=4,"Equipement critique; ","")</x:f>
        <x:v>Similarité historique forte; Avis ancien/reporté; Equipement critique; </x:v>
      </x:c>
      <x:c r="O30" t="str">
        <x:v>À vérifier</x:v>
      </x:c>
      <x:c r="P30" t="str">
        <x:v>Hypothèse test : notes saisies manuellement, pas de prédiction IA</x:v>
      </x:c>
      <x:c r="Q30" t="n">
        <x:f>L30+(1000-30)/100000</x:f>
        <x:v>60.0097</x:v>
      </x:c>
    </x:row>
    <x:row r="31" ht="23" customHeight="1">
      <x:c r="A31" t="str">
        <x:v>AV-1030</x:v>
      </x:c>
      <x:c r="B31" t="str">
        <x:v>E12</x:v>
      </x:c>
      <x:c r="C31" t="str">
        <x:v>Jeu mécanique observé</x:v>
      </x:c>
      <x:c r="D31" t="str">
        <x:v>2025-05-28</x:v>
      </x:c>
      <x:c r="E31" t="str">
        <x:v>Ouvert</x:v>
      </x:c>
      <x:c r="F31" s="12" t="n">
        <x:v>5</x:v>
      </x:c>
      <x:c r="G31" s="12" t="n">
        <x:v>5</x:v>
      </x:c>
      <x:c r="H31" s="12" t="n">
        <x:v>4</x:v>
      </x:c>
      <x:c r="I31" s="12" t="n">
        <x:v>3</x:v>
      </x:c>
      <x:c r="J31" s="12" t="n">
        <x:v>3</x:v>
      </x:c>
      <x:c r="K31" s="12" t="n">
        <x:v>5</x:v>
      </x:c>
      <x:c r="L31" s="14" t="n">
        <x:f>ROUND((F31*PARAMETRES!$B$2+G31*PARAMETRES!$B$3+H31*PARAMETRES!$B$4+I31*PARAMETRES!$B$5+J31*PARAMETRES!$B$6+K31*PARAMETRES!$B$7)/5,0)</x:f>
        <x:v>86</x:v>
      </x:c>
      <x:c r="M31" s="14" t="str">
        <x:f>IF(L31&gt;=PARAMETRES!$B$9,"HAUTE",IF(L31&gt;=PARAMETRES!$B$10,"MOYENNE","BASSE"))</x:f>
        <x:v>HAUTE</x:v>
      </x:c>
      <x:c r="N31" t="str">
        <x:f>IF(H31&gt;=4,"Similarité historique forte; ","")&amp;IF(G31&gt;=4,"Récurrence élevée; ","")&amp;IF(I31&gt;=4,"Avis ancien/reporté; ","")&amp;IF(F31&gt;=4,"Equipement critique; ","")</x:f>
        <x:v>Similarité historique forte; Récurrence élevée; Equipement critique; </x:v>
      </x:c>
      <x:c r="O31" t="str">
        <x:v>À vérifier</x:v>
      </x:c>
      <x:c r="P31" t="str">
        <x:v>Hypothèse test : notes saisies manuellement, pas de prédiction IA</x:v>
      </x:c>
      <x:c r="Q31" t="n">
        <x:f>L31+(1000-31)/100000</x:f>
        <x:v>86.00969</x:v>
      </x:c>
    </x:row>
    <x:row r="32" ht="23" customHeight="1">
      <x:c r="A32" t="str">
        <x:v>AV-1031</x:v>
      </x:c>
      <x:c r="B32" t="str">
        <x:v>E07</x:v>
      </x:c>
      <x:c r="C32" t="str">
        <x:v>Bruit intermittent</x:v>
      </x:c>
      <x:c r="D32" t="str">
        <x:v>2025-05-31</x:v>
      </x:c>
      <x:c r="E32" t="str">
        <x:v>Clôturé</x:v>
      </x:c>
      <x:c r="F32" s="12" t="n">
        <x:v>5</x:v>
      </x:c>
      <x:c r="G32" s="12" t="n">
        <x:v>2</x:v>
      </x:c>
      <x:c r="H32" s="12" t="n">
        <x:v>3</x:v>
      </x:c>
      <x:c r="I32" s="12" t="n">
        <x:v>3</x:v>
      </x:c>
      <x:c r="J32" s="12" t="n">
        <x:v>3</x:v>
      </x:c>
      <x:c r="K32" s="12" t="n">
        <x:v>5</x:v>
      </x:c>
      <x:c r="L32" s="14" t="n">
        <x:f>ROUND((F32*PARAMETRES!$B$2+G32*PARAMETRES!$B$3+H32*PARAMETRES!$B$4+I32*PARAMETRES!$B$5+J32*PARAMETRES!$B$6+K32*PARAMETRES!$B$7)/5,0)</x:f>
        <x:v>70</x:v>
      </x:c>
      <x:c r="M32" s="14" t="str">
        <x:f>IF(L32&gt;=PARAMETRES!$B$9,"HAUTE",IF(L32&gt;=PARAMETRES!$B$10,"MOYENNE","BASSE"))</x:f>
        <x:v>MOYENNE</x:v>
      </x:c>
      <x:c r="N32" t="str">
        <x:f>IF(H32&gt;=4,"Similarité historique forte; ","")&amp;IF(G32&gt;=4,"Récurrence élevée; ","")&amp;IF(I32&gt;=4,"Avis ancien/reporté; ","")&amp;IF(F32&gt;=4,"Equipement critique; ","")</x:f>
        <x:v>Equipement critique; </x:v>
      </x:c>
      <x:c r="O32" t="str">
        <x:v>À vérifier</x:v>
      </x:c>
      <x:c r="P32" t="str">
        <x:v>Hypothèse test : notes saisies manuellement, pas de prédiction IA</x:v>
      </x:c>
      <x:c r="Q32" t="n">
        <x:f>L32+(1000-32)/100000</x:f>
        <x:v>70.00968</x:v>
      </x:c>
    </x:row>
    <x:row r="33" ht="23" customHeight="1">
      <x:c r="A33" t="str">
        <x:v>AV-1032</x:v>
      </x:c>
      <x:c r="B33" t="str">
        <x:v>E02</x:v>
      </x:c>
      <x:c r="C33" t="str">
        <x:v>Défaut capteur intermittent</x:v>
      </x:c>
      <x:c r="D33" t="str">
        <x:v>2025-06-05</x:v>
      </x:c>
      <x:c r="E33" t="str">
        <x:v>Ouvert</x:v>
      </x:c>
      <x:c r="F33" s="12" t="n">
        <x:v>5</x:v>
      </x:c>
      <x:c r="G33" s="12" t="n">
        <x:v>1</x:v>
      </x:c>
      <x:c r="H33" s="12" t="n">
        <x:v>3</x:v>
      </x:c>
      <x:c r="I33" s="12" t="n">
        <x:v>2</x:v>
      </x:c>
      <x:c r="J33" s="12" t="n">
        <x:v>3</x:v>
      </x:c>
      <x:c r="K33" s="12" t="n">
        <x:v>0</x:v>
      </x:c>
      <x:c r="L33" s="14" t="n">
        <x:f>ROUND((F33*PARAMETRES!$B$2+G33*PARAMETRES!$B$3+H33*PARAMETRES!$B$4+I33*PARAMETRES!$B$5+J33*PARAMETRES!$B$6+K33*PARAMETRES!$B$7)/5,0)</x:f>
        <x:v>53</x:v>
      </x:c>
      <x:c r="M33" s="14" t="str">
        <x:f>IF(L33&gt;=PARAMETRES!$B$9,"HAUTE",IF(L33&gt;=PARAMETRES!$B$10,"MOYENNE","BASSE"))</x:f>
        <x:v>MOYENNE</x:v>
      </x:c>
      <x:c r="N33" t="str">
        <x:f>IF(H33&gt;=4,"Similarité historique forte; ","")&amp;IF(G33&gt;=4,"Récurrence élevée; ","")&amp;IF(I33&gt;=4,"Avis ancien/reporté; ","")&amp;IF(F33&gt;=4,"Equipement critique; ","")</x:f>
        <x:v>Equipement critique; </x:v>
      </x:c>
      <x:c r="O33" t="str">
        <x:v>À vérifier</x:v>
      </x:c>
      <x:c r="P33" t="str">
        <x:v>Hypothèse test : notes saisies manuellement, pas de prédiction IA</x:v>
      </x:c>
      <x:c r="Q33" t="n">
        <x:f>L33+(1000-33)/100000</x:f>
        <x:v>53.00967</x:v>
      </x:c>
    </x:row>
    <x:row r="34" ht="23" customHeight="1">
      <x:c r="A34" t="str">
        <x:v>AV-1033</x:v>
      </x:c>
      <x:c r="B34" t="str">
        <x:v>E09</x:v>
      </x:c>
      <x:c r="C34" t="str">
        <x:v>Fuite d’huile progressive</x:v>
      </x:c>
      <x:c r="D34" t="str">
        <x:v>2025-06-11</x:v>
      </x:c>
      <x:c r="E34" t="str">
        <x:v>Ouvert</x:v>
      </x:c>
      <x:c r="F34" s="12" t="n">
        <x:v>3</x:v>
      </x:c>
      <x:c r="G34" s="12" t="n">
        <x:v>3</x:v>
      </x:c>
      <x:c r="H34" s="12" t="n">
        <x:v>1</x:v>
      </x:c>
      <x:c r="I34" s="12" t="n">
        <x:v>5</x:v>
      </x:c>
      <x:c r="J34" s="12" t="n">
        <x:v>2</x:v>
      </x:c>
      <x:c r="K34" s="12" t="n">
        <x:v>0</x:v>
      </x:c>
      <x:c r="L34" s="14" t="n">
        <x:f>ROUND((F34*PARAMETRES!$B$2+G34*PARAMETRES!$B$3+H34*PARAMETRES!$B$4+I34*PARAMETRES!$B$5+J34*PARAMETRES!$B$6+K34*PARAMETRES!$B$7)/5,0)</x:f>
        <x:v>50</x:v>
      </x:c>
      <x:c r="M34" s="14" t="str">
        <x:f>IF(L34&gt;=PARAMETRES!$B$9,"HAUTE",IF(L34&gt;=PARAMETRES!$B$10,"MOYENNE","BASSE"))</x:f>
        <x:v>MOYENNE</x:v>
      </x:c>
      <x:c r="N34" t="str">
        <x:f>IF(H34&gt;=4,"Similarité historique forte; ","")&amp;IF(G34&gt;=4,"Récurrence élevée; ","")&amp;IF(I34&gt;=4,"Avis ancien/reporté; ","")&amp;IF(F34&gt;=4,"Equipement critique; ","")</x:f>
        <x:v>Avis ancien/reporté; </x:v>
      </x:c>
      <x:c r="O34" t="str">
        <x:v>À vérifier</x:v>
      </x:c>
      <x:c r="P34" t="str">
        <x:v>Hypothèse test : notes saisies manuellement, pas de prédiction IA</x:v>
      </x:c>
      <x:c r="Q34" t="n">
        <x:f>L34+(1000-34)/100000</x:f>
        <x:v>50.00966</x:v>
      </x:c>
    </x:row>
    <x:row r="35" ht="23" customHeight="1">
      <x:c r="A35" t="str">
        <x:v>AV-1034</x:v>
      </x:c>
      <x:c r="B35" t="str">
        <x:v>E04</x:v>
      </x:c>
      <x:c r="C35" t="str">
        <x:v>Température élevée</x:v>
      </x:c>
      <x:c r="D35" t="str">
        <x:v>2025-06-16</x:v>
      </x:c>
      <x:c r="E35" t="str">
        <x:v>Clôturé</x:v>
      </x:c>
      <x:c r="F35" s="12" t="n">
        <x:v>4</x:v>
      </x:c>
      <x:c r="G35" s="12" t="n">
        <x:v>4</x:v>
      </x:c>
      <x:c r="H35" s="12" t="n">
        <x:v>4</x:v>
      </x:c>
      <x:c r="I35" s="12" t="n">
        <x:v>5</x:v>
      </x:c>
      <x:c r="J35" s="12" t="n">
        <x:v>3</x:v>
      </x:c>
      <x:c r="K35" s="12" t="n">
        <x:v>0</x:v>
      </x:c>
      <x:c r="L35" s="14" t="n">
        <x:f>ROUND((F35*PARAMETRES!$B$2+G35*PARAMETRES!$B$3+H35*PARAMETRES!$B$4+I35*PARAMETRES!$B$5+J35*PARAMETRES!$B$6+K35*PARAMETRES!$B$7)/5,0)</x:f>
        <x:v>73</x:v>
      </x:c>
      <x:c r="M35" s="14" t="str">
        <x:f>IF(L35&gt;=PARAMETRES!$B$9,"HAUTE",IF(L35&gt;=PARAMETRES!$B$10,"MOYENNE","BASSE"))</x:f>
        <x:v>MOYENNE</x:v>
      </x:c>
      <x:c r="N35" t="str">
        <x:f>IF(H35&gt;=4,"Similarité historique forte; ","")&amp;IF(G35&gt;=4,"Récurrence élevée; ","")&amp;IF(I35&gt;=4,"Avis ancien/reporté; ","")&amp;IF(F35&gt;=4,"Equipement critique; ","")</x:f>
        <x:v>Similarité historique forte; Récurrence élevée; Avis ancien/reporté; Equipement critique; </x:v>
      </x:c>
      <x:c r="O35" t="str">
        <x:v>À vérifier</x:v>
      </x:c>
      <x:c r="P35" t="str">
        <x:v>Hypothèse test : notes saisies manuellement, pas de prédiction IA</x:v>
      </x:c>
      <x:c r="Q35" t="n">
        <x:f>L35+(1000-35)/100000</x:f>
        <x:v>73.00965</x:v>
      </x:c>
    </x:row>
    <x:row r="36" ht="23" customHeight="1">
      <x:c r="A36" t="str">
        <x:v>AV-1035</x:v>
      </x:c>
      <x:c r="B36" t="str">
        <x:v>E11</x:v>
      </x:c>
      <x:c r="C36" t="str">
        <x:v>Débit irrégulier</x:v>
      </x:c>
      <x:c r="D36" t="str">
        <x:v>2025-06-23</x:v>
      </x:c>
      <x:c r="E36" t="str">
        <x:v>Ouvert</x:v>
      </x:c>
      <x:c r="F36" s="12" t="n">
        <x:v>3</x:v>
      </x:c>
      <x:c r="G36" s="12" t="n">
        <x:v>0</x:v>
      </x:c>
      <x:c r="H36" s="12" t="n">
        <x:v>3</x:v>
      </x:c>
      <x:c r="I36" s="12" t="n">
        <x:v>4</x:v>
      </x:c>
      <x:c r="J36" s="12" t="n">
        <x:v>4</x:v>
      </x:c>
      <x:c r="K36" s="12" t="n">
        <x:v>0</x:v>
      </x:c>
      <x:c r="L36" s="14" t="n">
        <x:f>ROUND((F36*PARAMETRES!$B$2+G36*PARAMETRES!$B$3+H36*PARAMETRES!$B$4+I36*PARAMETRES!$B$5+J36*PARAMETRES!$B$6+K36*PARAMETRES!$B$7)/5,0)</x:f>
        <x:v>47</x:v>
      </x:c>
      <x:c r="M36" s="14" t="str">
        <x:f>IF(L36&gt;=PARAMETRES!$B$9,"HAUTE",IF(L36&gt;=PARAMETRES!$B$10,"MOYENNE","BASSE"))</x:f>
        <x:v>BASSE</x:v>
      </x:c>
      <x:c r="N36" t="str">
        <x:f>IF(H36&gt;=4,"Similarité historique forte; ","")&amp;IF(G36&gt;=4,"Récurrence élevée; ","")&amp;IF(I36&gt;=4,"Avis ancien/reporté; ","")&amp;IF(F36&gt;=4,"Equipement critique; ","")</x:f>
        <x:v>Avis ancien/reporté; </x:v>
      </x:c>
      <x:c r="O36" t="str">
        <x:v>À vérifier</x:v>
      </x:c>
      <x:c r="P36" t="str">
        <x:v>Hypothèse test : notes saisies manuellement, pas de prédiction IA</x:v>
      </x:c>
      <x:c r="Q36" t="n">
        <x:f>L36+(1000-36)/100000</x:f>
        <x:v>47.00964</x:v>
      </x:c>
    </x:row>
    <x:row r="37" ht="23" customHeight="1">
      <x:c r="A37" t="str">
        <x:v>AV-1036</x:v>
      </x:c>
      <x:c r="B37" t="str">
        <x:v>E06</x:v>
      </x:c>
      <x:c r="C37" t="str">
        <x:v>Vibration inhabituelle</x:v>
      </x:c>
      <x:c r="D37" t="str">
        <x:v>2025-06-25</x:v>
      </x:c>
      <x:c r="E37" t="str">
        <x:v>Ouvert</x:v>
      </x:c>
      <x:c r="F37" s="12" t="n">
        <x:v>3</x:v>
      </x:c>
      <x:c r="G37" s="12" t="n">
        <x:v>4</x:v>
      </x:c>
      <x:c r="H37" s="12" t="n">
        <x:v>0</x:v>
      </x:c>
      <x:c r="I37" s="12" t="n">
        <x:v>1</x:v>
      </x:c>
      <x:c r="J37" s="12" t="n">
        <x:v>2</x:v>
      </x:c>
      <x:c r="K37" s="12" t="n">
        <x:v>3</x:v>
      </x:c>
      <x:c r="L37" s="14" t="n">
        <x:f>ROUND((F37*PARAMETRES!$B$2+G37*PARAMETRES!$B$3+H37*PARAMETRES!$B$4+I37*PARAMETRES!$B$5+J37*PARAMETRES!$B$6+K37*PARAMETRES!$B$7)/5,0)</x:f>
        <x:v>44</x:v>
      </x:c>
      <x:c r="M37" s="14" t="str">
        <x:f>IF(L37&gt;=PARAMETRES!$B$9,"HAUTE",IF(L37&gt;=PARAMETRES!$B$10,"MOYENNE","BASSE"))</x:f>
        <x:v>BASSE</x:v>
      </x:c>
      <x:c r="N37" t="str">
        <x:f>IF(H37&gt;=4,"Similarité historique forte; ","")&amp;IF(G37&gt;=4,"Récurrence élevée; ","")&amp;IF(I37&gt;=4,"Avis ancien/reporté; ","")&amp;IF(F37&gt;=4,"Equipement critique; ","")</x:f>
        <x:v>Récurrence élevée; </x:v>
      </x:c>
      <x:c r="O37" t="str">
        <x:v>À vérifier</x:v>
      </x:c>
      <x:c r="P37" t="str">
        <x:v>Hypothèse test : notes saisies manuellement, pas de prédiction IA</x:v>
      </x:c>
      <x:c r="Q37" t="n">
        <x:f>L37+(1000-37)/100000</x:f>
        <x:v>44.00963</x:v>
      </x:c>
    </x:row>
    <x:row r="38" ht="23" customHeight="1">
      <x:c r="A38" t="str">
        <x:v>AV-1037</x:v>
      </x:c>
      <x:c r="B38" t="str">
        <x:v>E01</x:v>
      </x:c>
      <x:c r="C38" t="str">
        <x:v>Pression instable</x:v>
      </x:c>
      <x:c r="D38" t="str">
        <x:v>2025-07-02</x:v>
      </x:c>
      <x:c r="E38" t="str">
        <x:v>Clôturé</x:v>
      </x:c>
      <x:c r="F38" s="12" t="n">
        <x:v>5</x:v>
      </x:c>
      <x:c r="G38" s="12" t="n">
        <x:v>4</x:v>
      </x:c>
      <x:c r="H38" s="12" t="n">
        <x:v>0</x:v>
      </x:c>
      <x:c r="I38" s="12" t="n">
        <x:v>5</x:v>
      </x:c>
      <x:c r="J38" s="12" t="n">
        <x:v>2</x:v>
      </x:c>
      <x:c r="K38" s="12" t="n">
        <x:v>1</x:v>
      </x:c>
      <x:c r="L38" s="14" t="n">
        <x:f>ROUND((F38*PARAMETRES!$B$2+G38*PARAMETRES!$B$3+H38*PARAMETRES!$B$4+I38*PARAMETRES!$B$5+J38*PARAMETRES!$B$6+K38*PARAMETRES!$B$7)/5,0)</x:f>
        <x:v>62</x:v>
      </x:c>
      <x:c r="M38" s="14" t="str">
        <x:f>IF(L38&gt;=PARAMETRES!$B$9,"HAUTE",IF(L38&gt;=PARAMETRES!$B$10,"MOYENNE","BASSE"))</x:f>
        <x:v>MOYENNE</x:v>
      </x:c>
      <x:c r="N38" t="str">
        <x:f>IF(H38&gt;=4,"Similarité historique forte; ","")&amp;IF(G38&gt;=4,"Récurrence élevée; ","")&amp;IF(I38&gt;=4,"Avis ancien/reporté; ","")&amp;IF(F38&gt;=4,"Equipement critique; ","")</x:f>
        <x:v>Récurrence élevée; Avis ancien/reporté; Equipement critique; </x:v>
      </x:c>
      <x:c r="O38" t="str">
        <x:v>À vérifier</x:v>
      </x:c>
      <x:c r="P38" t="str">
        <x:v>Hypothèse test : notes saisies manuellement, pas de prédiction IA</x:v>
      </x:c>
      <x:c r="Q38" t="n">
        <x:f>L38+(1000-38)/100000</x:f>
        <x:v>62.00962</x:v>
      </x:c>
    </x:row>
    <x:row r="39" ht="23" customHeight="1">
      <x:c r="A39" t="str">
        <x:v>AV-1038</x:v>
      </x:c>
      <x:c r="B39" t="str">
        <x:v>E08</x:v>
      </x:c>
      <x:c r="C39" t="str">
        <x:v>Jeu mécanique observé</x:v>
      </x:c>
      <x:c r="D39" t="str">
        <x:v>2025-07-06</x:v>
      </x:c>
      <x:c r="E39" t="str">
        <x:v>Ouvert</x:v>
      </x:c>
      <x:c r="F39" s="12" t="n">
        <x:v>3</x:v>
      </x:c>
      <x:c r="G39" s="12" t="n">
        <x:v>3</x:v>
      </x:c>
      <x:c r="H39" s="12" t="n">
        <x:v>3</x:v>
      </x:c>
      <x:c r="I39" s="12" t="n">
        <x:v>5</x:v>
      </x:c>
      <x:c r="J39" s="12" t="n">
        <x:v>3</x:v>
      </x:c>
      <x:c r="K39" s="12" t="n">
        <x:v>5</x:v>
      </x:c>
      <x:c r="L39" s="14" t="n">
        <x:f>ROUND((F39*PARAMETRES!$B$2+G39*PARAMETRES!$B$3+H39*PARAMETRES!$B$4+I39*PARAMETRES!$B$5+J39*PARAMETRES!$B$6+K39*PARAMETRES!$B$7)/5,0)</x:f>
        <x:v>70</x:v>
      </x:c>
      <x:c r="M39" s="14" t="str">
        <x:f>IF(L39&gt;=PARAMETRES!$B$9,"HAUTE",IF(L39&gt;=PARAMETRES!$B$10,"MOYENNE","BASSE"))</x:f>
        <x:v>MOYENNE</x:v>
      </x:c>
      <x:c r="N39" t="str">
        <x:f>IF(H39&gt;=4,"Similarité historique forte; ","")&amp;IF(G39&gt;=4,"Récurrence élevée; ","")&amp;IF(I39&gt;=4,"Avis ancien/reporté; ","")&amp;IF(F39&gt;=4,"Equipement critique; ","")</x:f>
        <x:v>Avis ancien/reporté; </x:v>
      </x:c>
      <x:c r="O39" t="str">
        <x:v>À vérifier</x:v>
      </x:c>
      <x:c r="P39" t="str">
        <x:v>Hypothèse test : notes saisies manuellement, pas de prédiction IA</x:v>
      </x:c>
      <x:c r="Q39" t="n">
        <x:f>L39+(1000-39)/100000</x:f>
        <x:v>70.00961</x:v>
      </x:c>
    </x:row>
    <x:row r="40" ht="23" customHeight="1">
      <x:c r="A40" t="str">
        <x:v>AV-1039</x:v>
      </x:c>
      <x:c r="B40" t="str">
        <x:v>E03</x:v>
      </x:c>
      <x:c r="C40" t="str">
        <x:v>Bruit intermittent</x:v>
      </x:c>
      <x:c r="D40" t="str">
        <x:v>2025-07-10</x:v>
      </x:c>
      <x:c r="E40" t="str">
        <x:v>Ouvert</x:v>
      </x:c>
      <x:c r="F40" s="12" t="n">
        <x:v>4</x:v>
      </x:c>
      <x:c r="G40" s="12" t="n">
        <x:v>2</x:v>
      </x:c>
      <x:c r="H40" s="12" t="n">
        <x:v>4</x:v>
      </x:c>
      <x:c r="I40" s="12" t="n">
        <x:v>0</x:v>
      </x:c>
      <x:c r="J40" s="12" t="n">
        <x:v>3</x:v>
      </x:c>
      <x:c r="K40" s="12" t="n">
        <x:v>5</x:v>
      </x:c>
      <x:c r="L40" s="14" t="n">
        <x:f>ROUND((F40*PARAMETRES!$B$2+G40*PARAMETRES!$B$3+H40*PARAMETRES!$B$4+I40*PARAMETRES!$B$5+J40*PARAMETRES!$B$6+K40*PARAMETRES!$B$7)/5,0)</x:f>
        <x:v>60</x:v>
      </x:c>
      <x:c r="M40" s="14" t="str">
        <x:f>IF(L40&gt;=PARAMETRES!$B$9,"HAUTE",IF(L40&gt;=PARAMETRES!$B$10,"MOYENNE","BASSE"))</x:f>
        <x:v>MOYENNE</x:v>
      </x:c>
      <x:c r="N40" t="str">
        <x:f>IF(H40&gt;=4,"Similarité historique forte; ","")&amp;IF(G40&gt;=4,"Récurrence élevée; ","")&amp;IF(I40&gt;=4,"Avis ancien/reporté; ","")&amp;IF(F40&gt;=4,"Equipement critique; ","")</x:f>
        <x:v>Similarité historique forte; Equipement critique; </x:v>
      </x:c>
      <x:c r="O40" t="str">
        <x:v>À vérifier</x:v>
      </x:c>
      <x:c r="P40" t="str">
        <x:v>Hypothèse test : notes saisies manuellement, pas de prédiction IA</x:v>
      </x:c>
      <x:c r="Q40" t="n">
        <x:f>L40+(1000-40)/100000</x:f>
        <x:v>60.0096</x:v>
      </x:c>
    </x:row>
    <x:row r="41" ht="23" customHeight="1">
      <x:c r="A41" t="str">
        <x:v>AV-1040</x:v>
      </x:c>
      <x:c r="B41" t="str">
        <x:v>E10</x:v>
      </x:c>
      <x:c r="C41" t="str">
        <x:v>Défaut capteur intermittent</x:v>
      </x:c>
      <x:c r="D41" t="str">
        <x:v>2025-07-15</x:v>
      </x:c>
      <x:c r="E41" t="str">
        <x:v>Clôturé</x:v>
      </x:c>
      <x:c r="F41" s="12" t="n">
        <x:v>4</x:v>
      </x:c>
      <x:c r="G41" s="12" t="n">
        <x:v>2</x:v>
      </x:c>
      <x:c r="H41" s="12" t="n">
        <x:v>4</x:v>
      </x:c>
      <x:c r="I41" s="12" t="n">
        <x:v>5</x:v>
      </x:c>
      <x:c r="J41" s="12" t="n">
        <x:v>0</x:v>
      </x:c>
      <x:c r="K41" s="12" t="n">
        <x:v>1</x:v>
      </x:c>
      <x:c r="L41" s="14" t="n">
        <x:f>ROUND((F41*PARAMETRES!$B$2+G41*PARAMETRES!$B$3+H41*PARAMETRES!$B$4+I41*PARAMETRES!$B$5+J41*PARAMETRES!$B$6+K41*PARAMETRES!$B$7)/5,0)</x:f>
        <x:v>61</x:v>
      </x:c>
      <x:c r="M41" s="14" t="str">
        <x:f>IF(L41&gt;=PARAMETRES!$B$9,"HAUTE",IF(L41&gt;=PARAMETRES!$B$10,"MOYENNE","BASSE"))</x:f>
        <x:v>MOYENNE</x:v>
      </x:c>
      <x:c r="N41" t="str">
        <x:f>IF(H41&gt;=4,"Similarité historique forte; ","")&amp;IF(G41&gt;=4,"Récurrence élevée; ","")&amp;IF(I41&gt;=4,"Avis ancien/reporté; ","")&amp;IF(F41&gt;=4,"Equipement critique; ","")</x:f>
        <x:v>Similarité historique forte; Avis ancien/reporté; Equipement critique; </x:v>
      </x:c>
      <x:c r="O41" t="str">
        <x:v>À vérifier</x:v>
      </x:c>
      <x:c r="P41" t="str">
        <x:v>Hypothèse test : notes saisies manuellement, pas de prédiction IA</x:v>
      </x:c>
      <x:c r="Q41" t="n">
        <x:f>L41+(1000-41)/100000</x:f>
        <x:v>61.00959</x:v>
      </x:c>
    </x:row>
    <x:row r="42" ht="23" customHeight="1">
      <x:c r="A42" t="str">
        <x:v>AV-1041</x:v>
      </x:c>
      <x:c r="B42" t="str">
        <x:v>E05</x:v>
      </x:c>
      <x:c r="C42" t="str">
        <x:v>Fuite d’huile progressive</x:v>
      </x:c>
      <x:c r="D42" t="str">
        <x:v>2025-07-21</x:v>
      </x:c>
      <x:c r="E42" t="str">
        <x:v>Ouvert</x:v>
      </x:c>
      <x:c r="F42" s="12" t="n">
        <x:v>4</x:v>
      </x:c>
      <x:c r="G42" s="12" t="n">
        <x:v>4</x:v>
      </x:c>
      <x:c r="H42" s="12" t="n">
        <x:v>1</x:v>
      </x:c>
      <x:c r="I42" s="12" t="n">
        <x:v>5</x:v>
      </x:c>
      <x:c r="J42" s="12" t="n">
        <x:v>0</x:v>
      </x:c>
      <x:c r="K42" s="12" t="n">
        <x:v>4</x:v>
      </x:c>
      <x:c r="L42" s="14" t="n">
        <x:f>ROUND((F42*PARAMETRES!$B$2+G42*PARAMETRES!$B$3+H42*PARAMETRES!$B$4+I42*PARAMETRES!$B$5+J42*PARAMETRES!$B$6+K42*PARAMETRES!$B$7)/5,0)</x:f>
        <x:v>63</x:v>
      </x:c>
      <x:c r="M42" s="14" t="str">
        <x:f>IF(L42&gt;=PARAMETRES!$B$9,"HAUTE",IF(L42&gt;=PARAMETRES!$B$10,"MOYENNE","BASSE"))</x:f>
        <x:v>MOYENNE</x:v>
      </x:c>
      <x:c r="N42" t="str">
        <x:f>IF(H42&gt;=4,"Similarité historique forte; ","")&amp;IF(G42&gt;=4,"Récurrence élevée; ","")&amp;IF(I42&gt;=4,"Avis ancien/reporté; ","")&amp;IF(F42&gt;=4,"Equipement critique; ","")</x:f>
        <x:v>Récurrence élevée; Avis ancien/reporté; Equipement critique; </x:v>
      </x:c>
      <x:c r="O42" t="str">
        <x:v>À vérifier</x:v>
      </x:c>
      <x:c r="P42" t="str">
        <x:v>Hypothèse test : notes saisies manuellement, pas de prédiction IA</x:v>
      </x:c>
      <x:c r="Q42" t="n">
        <x:f>L42+(1000-42)/100000</x:f>
        <x:v>63.00958</x:v>
      </x:c>
    </x:row>
    <x:row r="43" ht="23" customHeight="1">
      <x:c r="A43" t="str">
        <x:v>AV-1042</x:v>
      </x:c>
      <x:c r="B43" t="str">
        <x:v>E12</x:v>
      </x:c>
      <x:c r="C43" t="str">
        <x:v>Température élevée</x:v>
      </x:c>
      <x:c r="D43" t="str">
        <x:v>2025-07-26</x:v>
      </x:c>
      <x:c r="E43" t="str">
        <x:v>Ouvert</x:v>
      </x:c>
      <x:c r="F43" s="12" t="n">
        <x:v>5</x:v>
      </x:c>
      <x:c r="G43" s="12" t="n">
        <x:v>2</x:v>
      </x:c>
      <x:c r="H43" s="12" t="n">
        <x:v>3</x:v>
      </x:c>
      <x:c r="I43" s="12" t="n">
        <x:v>4</x:v>
      </x:c>
      <x:c r="J43" s="12" t="n">
        <x:v>2</x:v>
      </x:c>
      <x:c r="K43" s="12" t="n">
        <x:v>1</x:v>
      </x:c>
      <x:c r="L43" s="14" t="n">
        <x:f>ROUND((F43*PARAMETRES!$B$2+G43*PARAMETRES!$B$3+H43*PARAMETRES!$B$4+I43*PARAMETRES!$B$5+J43*PARAMETRES!$B$6+K43*PARAMETRES!$B$7)/5,0)</x:f>
        <x:v>63</x:v>
      </x:c>
      <x:c r="M43" s="14" t="str">
        <x:f>IF(L43&gt;=PARAMETRES!$B$9,"HAUTE",IF(L43&gt;=PARAMETRES!$B$10,"MOYENNE","BASSE"))</x:f>
        <x:v>MOYENNE</x:v>
      </x:c>
      <x:c r="N43" t="str">
        <x:f>IF(H43&gt;=4,"Similarité historique forte; ","")&amp;IF(G43&gt;=4,"Récurrence élevée; ","")&amp;IF(I43&gt;=4,"Avis ancien/reporté; ","")&amp;IF(F43&gt;=4,"Equipement critique; ","")</x:f>
        <x:v>Avis ancien/reporté; Equipement critique; </x:v>
      </x:c>
      <x:c r="O43" t="str">
        <x:v>À vérifier</x:v>
      </x:c>
      <x:c r="P43" t="str">
        <x:v>Hypothèse test : notes saisies manuellement, pas de prédiction IA</x:v>
      </x:c>
      <x:c r="Q43" t="n">
        <x:f>L43+(1000-43)/100000</x:f>
        <x:v>63.00957</x:v>
      </x:c>
    </x:row>
    <x:row r="44" ht="23" customHeight="1">
      <x:c r="A44" t="str">
        <x:v>AV-1043</x:v>
      </x:c>
      <x:c r="B44" t="str">
        <x:v>E07</x:v>
      </x:c>
      <x:c r="C44" t="str">
        <x:v>Débit irrégulier</x:v>
      </x:c>
      <x:c r="D44" t="str">
        <x:v>2025-08-03</x:v>
      </x:c>
      <x:c r="E44" t="str">
        <x:v>Clôturé</x:v>
      </x:c>
      <x:c r="F44" s="12" t="n">
        <x:v>5</x:v>
      </x:c>
      <x:c r="G44" s="12" t="n">
        <x:v>0</x:v>
      </x:c>
      <x:c r="H44" s="12" t="n">
        <x:v>1</x:v>
      </x:c>
      <x:c r="I44" s="12" t="n">
        <x:v>5</x:v>
      </x:c>
      <x:c r="J44" s="12" t="n">
        <x:v>2</x:v>
      </x:c>
      <x:c r="K44" s="12" t="n">
        <x:v>0</x:v>
      </x:c>
      <x:c r="L44" s="14" t="n">
        <x:f>ROUND((F44*PARAMETRES!$B$2+G44*PARAMETRES!$B$3+H44*PARAMETRES!$B$4+I44*PARAMETRES!$B$5+J44*PARAMETRES!$B$6+K44*PARAMETRES!$B$7)/5,0)</x:f>
        <x:v>48</x:v>
      </x:c>
      <x:c r="M44" s="14" t="str">
        <x:f>IF(L44&gt;=PARAMETRES!$B$9,"HAUTE",IF(L44&gt;=PARAMETRES!$B$10,"MOYENNE","BASSE"))</x:f>
        <x:v>BASSE</x:v>
      </x:c>
      <x:c r="N44" t="str">
        <x:f>IF(H44&gt;=4,"Similarité historique forte; ","")&amp;IF(G44&gt;=4,"Récurrence élevée; ","")&amp;IF(I44&gt;=4,"Avis ancien/reporté; ","")&amp;IF(F44&gt;=4,"Equipement critique; ","")</x:f>
        <x:v>Avis ancien/reporté; Equipement critique; </x:v>
      </x:c>
      <x:c r="O44" t="str">
        <x:v>À vérifier</x:v>
      </x:c>
      <x:c r="P44" t="str">
        <x:v>Hypothèse test : notes saisies manuellement, pas de prédiction IA</x:v>
      </x:c>
      <x:c r="Q44" t="n">
        <x:f>L44+(1000-44)/100000</x:f>
        <x:v>48.00956</x:v>
      </x:c>
    </x:row>
    <x:row r="45" ht="23" customHeight="1">
      <x:c r="A45" t="str">
        <x:v>AV-1044</x:v>
      </x:c>
      <x:c r="B45" t="str">
        <x:v>E02</x:v>
      </x:c>
      <x:c r="C45" t="str">
        <x:v>Vibration inhabituelle</x:v>
      </x:c>
      <x:c r="D45" t="str">
        <x:v>2025-08-08</x:v>
      </x:c>
      <x:c r="E45" t="str">
        <x:v>Ouvert</x:v>
      </x:c>
      <x:c r="F45" s="12" t="n">
        <x:v>5</x:v>
      </x:c>
      <x:c r="G45" s="12" t="n">
        <x:v>4</x:v>
      </x:c>
      <x:c r="H45" s="12" t="n">
        <x:v>0</x:v>
      </x:c>
      <x:c r="I45" s="12" t="n">
        <x:v>4</x:v>
      </x:c>
      <x:c r="J45" s="12" t="n">
        <x:v>4</x:v>
      </x:c>
      <x:c r="K45" s="12" t="n">
        <x:v>2</x:v>
      </x:c>
      <x:c r="L45" s="14" t="n">
        <x:f>ROUND((F45*PARAMETRES!$B$2+G45*PARAMETRES!$B$3+H45*PARAMETRES!$B$4+I45*PARAMETRES!$B$5+J45*PARAMETRES!$B$6+K45*PARAMETRES!$B$7)/5,0)</x:f>
        <x:v>65</x:v>
      </x:c>
      <x:c r="M45" s="14" t="str">
        <x:f>IF(L45&gt;=PARAMETRES!$B$9,"HAUTE",IF(L45&gt;=PARAMETRES!$B$10,"MOYENNE","BASSE"))</x:f>
        <x:v>MOYENNE</x:v>
      </x:c>
      <x:c r="N45" t="str">
        <x:f>IF(H45&gt;=4,"Similarité historique forte; ","")&amp;IF(G45&gt;=4,"Récurrence élevée; ","")&amp;IF(I45&gt;=4,"Avis ancien/reporté; ","")&amp;IF(F45&gt;=4,"Equipement critique; ","")</x:f>
        <x:v>Récurrence élevée; Avis ancien/reporté; Equipement critique; </x:v>
      </x:c>
      <x:c r="O45" t="str">
        <x:v>À vérifier</x:v>
      </x:c>
      <x:c r="P45" t="str">
        <x:v>Hypothèse test : notes saisies manuellement, pas de prédiction IA</x:v>
      </x:c>
      <x:c r="Q45" t="n">
        <x:f>L45+(1000-45)/100000</x:f>
        <x:v>65.00955</x:v>
      </x:c>
    </x:row>
    <x:row r="46" ht="23" customHeight="1">
      <x:c r="A46" t="str">
        <x:v>AV-1045</x:v>
      </x:c>
      <x:c r="B46" t="str">
        <x:v>E09</x:v>
      </x:c>
      <x:c r="C46" t="str">
        <x:v>Pression instable</x:v>
      </x:c>
      <x:c r="D46" t="str">
        <x:v>2025-08-09</x:v>
      </x:c>
      <x:c r="E46" t="str">
        <x:v>Ouvert</x:v>
      </x:c>
      <x:c r="F46" s="12" t="n">
        <x:v>3</x:v>
      </x:c>
      <x:c r="G46" s="12" t="n">
        <x:v>3</x:v>
      </x:c>
      <x:c r="H46" s="12" t="n">
        <x:v>0</x:v>
      </x:c>
      <x:c r="I46" s="12" t="n">
        <x:v>1</x:v>
      </x:c>
      <x:c r="J46" s="12" t="n">
        <x:v>4</x:v>
      </x:c>
      <x:c r="K46" s="12" t="n">
        <x:v>5</x:v>
      </x:c>
      <x:c r="L46" s="14" t="n">
        <x:f>ROUND((F46*PARAMETRES!$B$2+G46*PARAMETRES!$B$3+H46*PARAMETRES!$B$4+I46*PARAMETRES!$B$5+J46*PARAMETRES!$B$6+K46*PARAMETRES!$B$7)/5,0)</x:f>
        <x:v>48</x:v>
      </x:c>
      <x:c r="M46" s="14" t="str">
        <x:f>IF(L46&gt;=PARAMETRES!$B$9,"HAUTE",IF(L46&gt;=PARAMETRES!$B$10,"MOYENNE","BASSE"))</x:f>
        <x:v>BASSE</x:v>
      </x:c>
      <x:c r="N46" t="str">
        <x:f>IF(H46&gt;=4,"Similarité historique forte; ","")&amp;IF(G46&gt;=4,"Récurrence élevée; ","")&amp;IF(I46&gt;=4,"Avis ancien/reporté; ","")&amp;IF(F46&gt;=4,"Equipement critique; ","")</x:f>
      </x:c>
      <x:c r="O46" t="str">
        <x:v>À vérifier</x:v>
      </x:c>
      <x:c r="P46" t="str">
        <x:v>Hypothèse test : notes saisies manuellement, pas de prédiction IA</x:v>
      </x:c>
      <x:c r="Q46" t="n">
        <x:f>L46+(1000-46)/100000</x:f>
        <x:v>48.00954</x:v>
      </x:c>
    </x:row>
    <x:row r="47" ht="23" customHeight="1">
      <x:c r="A47" t="str">
        <x:v>AV-1046</x:v>
      </x:c>
      <x:c r="B47" t="str">
        <x:v>E04</x:v>
      </x:c>
      <x:c r="C47" t="str">
        <x:v>Jeu mécanique observé</x:v>
      </x:c>
      <x:c r="D47" t="str">
        <x:v>2025-08-16</x:v>
      </x:c>
      <x:c r="E47" t="str">
        <x:v>Clôturé</x:v>
      </x:c>
      <x:c r="F47" s="12" t="n">
        <x:v>4</x:v>
      </x:c>
      <x:c r="G47" s="12" t="n">
        <x:v>3</x:v>
      </x:c>
      <x:c r="H47" s="12" t="n">
        <x:v>0</x:v>
      </x:c>
      <x:c r="I47" s="12" t="n">
        <x:v>2</x:v>
      </x:c>
      <x:c r="J47" s="12" t="n">
        <x:v>2</x:v>
      </x:c>
      <x:c r="K47" s="12" t="n">
        <x:v>2</x:v>
      </x:c>
      <x:c r="L47" s="14" t="n">
        <x:f>ROUND((F47*PARAMETRES!$B$2+G47*PARAMETRES!$B$3+H47*PARAMETRES!$B$4+I47*PARAMETRES!$B$5+J47*PARAMETRES!$B$6+K47*PARAMETRES!$B$7)/5,0)</x:f>
        <x:v>46</x:v>
      </x:c>
      <x:c r="M47" s="14" t="str">
        <x:f>IF(L47&gt;=PARAMETRES!$B$9,"HAUTE",IF(L47&gt;=PARAMETRES!$B$10,"MOYENNE","BASSE"))</x:f>
        <x:v>BASSE</x:v>
      </x:c>
      <x:c r="N47" t="str">
        <x:f>IF(H47&gt;=4,"Similarité historique forte; ","")&amp;IF(G47&gt;=4,"Récurrence élevée; ","")&amp;IF(I47&gt;=4,"Avis ancien/reporté; ","")&amp;IF(F47&gt;=4,"Equipement critique; ","")</x:f>
        <x:v>Equipement critique; </x:v>
      </x:c>
      <x:c r="O47" t="str">
        <x:v>À vérifier</x:v>
      </x:c>
      <x:c r="P47" t="str">
        <x:v>Hypothèse test : notes saisies manuellement, pas de prédiction IA</x:v>
      </x:c>
      <x:c r="Q47" t="n">
        <x:f>L47+(1000-47)/100000</x:f>
        <x:v>46.00953</x:v>
      </x:c>
    </x:row>
    <x:row r="48" ht="23" customHeight="1">
      <x:c r="A48" t="str">
        <x:v>AV-1047</x:v>
      </x:c>
      <x:c r="B48" t="str">
        <x:v>E11</x:v>
      </x:c>
      <x:c r="C48" t="str">
        <x:v>Bruit intermittent</x:v>
      </x:c>
      <x:c r="D48" t="str">
        <x:v>2025-08-23</x:v>
      </x:c>
      <x:c r="E48" t="str">
        <x:v>Ouvert</x:v>
      </x:c>
      <x:c r="F48" s="12" t="n">
        <x:v>3</x:v>
      </x:c>
      <x:c r="G48" s="12" t="n">
        <x:v>4</x:v>
      </x:c>
      <x:c r="H48" s="12" t="n">
        <x:v>1</x:v>
      </x:c>
      <x:c r="I48" s="12" t="n">
        <x:v>1</x:v>
      </x:c>
      <x:c r="J48" s="12" t="n">
        <x:v>4</x:v>
      </x:c>
      <x:c r="K48" s="12" t="n">
        <x:v>1</x:v>
      </x:c>
      <x:c r="L48" s="14" t="n">
        <x:f>ROUND((F48*PARAMETRES!$B$2+G48*PARAMETRES!$B$3+H48*PARAMETRES!$B$4+I48*PARAMETRES!$B$5+J48*PARAMETRES!$B$6+K48*PARAMETRES!$B$7)/5,0)</x:f>
        <x:v>48</x:v>
      </x:c>
      <x:c r="M48" s="14" t="str">
        <x:f>IF(L48&gt;=PARAMETRES!$B$9,"HAUTE",IF(L48&gt;=PARAMETRES!$B$10,"MOYENNE","BASSE"))</x:f>
        <x:v>BASSE</x:v>
      </x:c>
      <x:c r="N48" t="str">
        <x:f>IF(H48&gt;=4,"Similarité historique forte; ","")&amp;IF(G48&gt;=4,"Récurrence élevée; ","")&amp;IF(I48&gt;=4,"Avis ancien/reporté; ","")&amp;IF(F48&gt;=4,"Equipement critique; ","")</x:f>
        <x:v>Récurrence élevée; </x:v>
      </x:c>
      <x:c r="O48" t="str">
        <x:v>À vérifier</x:v>
      </x:c>
      <x:c r="P48" t="str">
        <x:v>Hypothèse test : notes saisies manuellement, pas de prédiction IA</x:v>
      </x:c>
      <x:c r="Q48" t="n">
        <x:f>L48+(1000-48)/100000</x:f>
        <x:v>48.00952</x:v>
      </x:c>
    </x:row>
    <x:row r="49" ht="23" customHeight="1">
      <x:c r="A49" t="str">
        <x:v>AV-1048</x:v>
      </x:c>
      <x:c r="B49" t="str">
        <x:v>E06</x:v>
      </x:c>
      <x:c r="C49" t="str">
        <x:v>Défaut capteur intermittent</x:v>
      </x:c>
      <x:c r="D49" t="str">
        <x:v>2025-08-24</x:v>
      </x:c>
      <x:c r="E49" t="str">
        <x:v>Ouvert</x:v>
      </x:c>
      <x:c r="F49" s="12" t="n">
        <x:v>3</x:v>
      </x:c>
      <x:c r="G49" s="12" t="n">
        <x:v>3</x:v>
      </x:c>
      <x:c r="H49" s="12" t="n">
        <x:v>2</x:v>
      </x:c>
      <x:c r="I49" s="12" t="n">
        <x:v>3</x:v>
      </x:c>
      <x:c r="J49" s="12" t="n">
        <x:v>2</x:v>
      </x:c>
      <x:c r="K49" s="12" t="n">
        <x:v>1</x:v>
      </x:c>
      <x:c r="L49" s="14" t="n">
        <x:f>ROUND((F49*PARAMETRES!$B$2+G49*PARAMETRES!$B$3+H49*PARAMETRES!$B$4+I49*PARAMETRES!$B$5+J49*PARAMETRES!$B$6+K49*PARAMETRES!$B$7)/5,0)</x:f>
        <x:v>50</x:v>
      </x:c>
      <x:c r="M49" s="14" t="str">
        <x:f>IF(L49&gt;=PARAMETRES!$B$9,"HAUTE",IF(L49&gt;=PARAMETRES!$B$10,"MOYENNE","BASSE"))</x:f>
        <x:v>MOYENNE</x:v>
      </x:c>
      <x:c r="N49" t="str">
        <x:f>IF(H49&gt;=4,"Similarité historique forte; ","")&amp;IF(G49&gt;=4,"Récurrence élevée; ","")&amp;IF(I49&gt;=4,"Avis ancien/reporté; ","")&amp;IF(F49&gt;=4,"Equipement critique; ","")</x:f>
      </x:c>
      <x:c r="O49" t="str">
        <x:v>À vérifier</x:v>
      </x:c>
      <x:c r="P49" t="str">
        <x:v>Hypothèse test : notes saisies manuellement, pas de prédiction IA</x:v>
      </x:c>
      <x:c r="Q49" t="n">
        <x:f>L49+(1000-49)/100000</x:f>
        <x:v>50.00951</x:v>
      </x:c>
    </x:row>
    <x:row r="50" ht="23" customHeight="1">
      <x:c r="A50" t="str">
        <x:v>AV-1049</x:v>
      </x:c>
      <x:c r="B50" t="str">
        <x:v>E01</x:v>
      </x:c>
      <x:c r="C50" t="str">
        <x:v>Fuite d’huile progressive</x:v>
      </x:c>
      <x:c r="D50" t="str">
        <x:v>2025-08-29</x:v>
      </x:c>
      <x:c r="E50" t="str">
        <x:v>Clôturé</x:v>
      </x:c>
      <x:c r="F50" s="12" t="n">
        <x:v>5</x:v>
      </x:c>
      <x:c r="G50" s="12" t="n">
        <x:v>4</x:v>
      </x:c>
      <x:c r="H50" s="12" t="n">
        <x:v>1</x:v>
      </x:c>
      <x:c r="I50" s="12" t="n">
        <x:v>3</x:v>
      </x:c>
      <x:c r="J50" s="12" t="n">
        <x:v>3</x:v>
      </x:c>
      <x:c r="K50" s="12" t="n">
        <x:v>4</x:v>
      </x:c>
      <x:c r="L50" s="14" t="n">
        <x:f>ROUND((F50*PARAMETRES!$B$2+G50*PARAMETRES!$B$3+H50*PARAMETRES!$B$4+I50*PARAMETRES!$B$5+J50*PARAMETRES!$B$6+K50*PARAMETRES!$B$7)/5,0)</x:f>
        <x:v>68</x:v>
      </x:c>
      <x:c r="M50" s="14" t="str">
        <x:f>IF(L50&gt;=PARAMETRES!$B$9,"HAUTE",IF(L50&gt;=PARAMETRES!$B$10,"MOYENNE","BASSE"))</x:f>
        <x:v>MOYENNE</x:v>
      </x:c>
      <x:c r="N50" t="str">
        <x:f>IF(H50&gt;=4,"Similarité historique forte; ","")&amp;IF(G50&gt;=4,"Récurrence élevée; ","")&amp;IF(I50&gt;=4,"Avis ancien/reporté; ","")&amp;IF(F50&gt;=4,"Equipement critique; ","")</x:f>
        <x:v>Récurrence élevée; Equipement critique; </x:v>
      </x:c>
      <x:c r="O50" t="str">
        <x:v>À vérifier</x:v>
      </x:c>
      <x:c r="P50" t="str">
        <x:v>Hypothèse test : notes saisies manuellement, pas de prédiction IA</x:v>
      </x:c>
      <x:c r="Q50" t="n">
        <x:f>L50+(1000-50)/100000</x:f>
        <x:v>68.0095</x:v>
      </x:c>
    </x:row>
    <x:row r="51" ht="23" customHeight="1">
      <x:c r="A51" t="str">
        <x:v>AV-1050</x:v>
      </x:c>
      <x:c r="B51" t="str">
        <x:v>E08</x:v>
      </x:c>
      <x:c r="C51" t="str">
        <x:v>Température élevée</x:v>
      </x:c>
      <x:c r="D51" t="str">
        <x:v>2025-09-03</x:v>
      </x:c>
      <x:c r="E51" t="str">
        <x:v>Ouvert</x:v>
      </x:c>
      <x:c r="F51" s="12" t="n">
        <x:v>3</x:v>
      </x:c>
      <x:c r="G51" s="12" t="n">
        <x:v>5</x:v>
      </x:c>
      <x:c r="H51" s="12" t="n">
        <x:v>0</x:v>
      </x:c>
      <x:c r="I51" s="12" t="n">
        <x:v>5</x:v>
      </x:c>
      <x:c r="J51" s="12" t="n">
        <x:v>2</x:v>
      </x:c>
      <x:c r="K51" s="12" t="n">
        <x:v>4</x:v>
      </x:c>
      <x:c r="L51" s="14" t="n">
        <x:f>ROUND((F51*PARAMETRES!$B$2+G51*PARAMETRES!$B$3+H51*PARAMETRES!$B$4+I51*PARAMETRES!$B$5+J51*PARAMETRES!$B$6+K51*PARAMETRES!$B$7)/5,0)</x:f>
        <x:v>62</x:v>
      </x:c>
      <x:c r="M51" s="14" t="str">
        <x:f>IF(L51&gt;=PARAMETRES!$B$9,"HAUTE",IF(L51&gt;=PARAMETRES!$B$10,"MOYENNE","BASSE"))</x:f>
        <x:v>MOYENNE</x:v>
      </x:c>
      <x:c r="N51" t="str">
        <x:f>IF(H51&gt;=4,"Similarité historique forte; ","")&amp;IF(G51&gt;=4,"Récurrence élevée; ","")&amp;IF(I51&gt;=4,"Avis ancien/reporté; ","")&amp;IF(F51&gt;=4,"Equipement critique; ","")</x:f>
        <x:v>Récurrence élevée; Avis ancien/reporté; </x:v>
      </x:c>
      <x:c r="O51" t="str">
        <x:v>À vérifier</x:v>
      </x:c>
      <x:c r="P51" t="str">
        <x:v>Hypothèse test : notes saisies manuellement, pas de prédiction IA</x:v>
      </x:c>
      <x:c r="Q51" t="n">
        <x:f>L51+(1000-51)/100000</x:f>
        <x:v>62.00949</x:v>
      </x:c>
    </x:row>
    <x:row r="52" ht="23" customHeight="1">
      <x:c r="A52" t="str">
        <x:v>AV-1051</x:v>
      </x:c>
      <x:c r="B52" t="str">
        <x:v>E03</x:v>
      </x:c>
      <x:c r="C52" t="str">
        <x:v>Débit irrégulier</x:v>
      </x:c>
      <x:c r="D52" t="str">
        <x:v>2025-09-11</x:v>
      </x:c>
      <x:c r="E52" t="str">
        <x:v>Ouvert</x:v>
      </x:c>
      <x:c r="F52" s="12" t="n">
        <x:v>4</x:v>
      </x:c>
      <x:c r="G52" s="12" t="n">
        <x:v>1</x:v>
      </x:c>
      <x:c r="H52" s="12" t="n">
        <x:v>2</x:v>
      </x:c>
      <x:c r="I52" s="12" t="n">
        <x:v>4</x:v>
      </x:c>
      <x:c r="J52" s="12" t="n">
        <x:v>3</x:v>
      </x:c>
      <x:c r="K52" s="12" t="n">
        <x:v>0</x:v>
      </x:c>
      <x:c r="L52" s="14" t="n">
        <x:f>ROUND((F52*PARAMETRES!$B$2+G52*PARAMETRES!$B$3+H52*PARAMETRES!$B$4+I52*PARAMETRES!$B$5+J52*PARAMETRES!$B$6+K52*PARAMETRES!$B$7)/5,0)</x:f>
        <x:v>50</x:v>
      </x:c>
      <x:c r="M52" s="14" t="str">
        <x:f>IF(L52&gt;=PARAMETRES!$B$9,"HAUTE",IF(L52&gt;=PARAMETRES!$B$10,"MOYENNE","BASSE"))</x:f>
        <x:v>MOYENNE</x:v>
      </x:c>
      <x:c r="N52" t="str">
        <x:f>IF(H52&gt;=4,"Similarité historique forte; ","")&amp;IF(G52&gt;=4,"Récurrence élevée; ","")&amp;IF(I52&gt;=4,"Avis ancien/reporté; ","")&amp;IF(F52&gt;=4,"Equipement critique; ","")</x:f>
        <x:v>Avis ancien/reporté; Equipement critique; </x:v>
      </x:c>
      <x:c r="O52" t="str">
        <x:v>À vérifier</x:v>
      </x:c>
      <x:c r="P52" t="str">
        <x:v>Hypothèse test : notes saisies manuellement, pas de prédiction IA</x:v>
      </x:c>
      <x:c r="Q52" t="n">
        <x:f>L52+(1000-52)/100000</x:f>
        <x:v>50.00948</x:v>
      </x:c>
    </x:row>
    <x:row r="53" ht="23" customHeight="1">
      <x:c r="A53" t="str">
        <x:v>AV-1052</x:v>
      </x:c>
      <x:c r="B53" t="str">
        <x:v>E10</x:v>
      </x:c>
      <x:c r="C53" t="str">
        <x:v>Vibration inhabituelle</x:v>
      </x:c>
      <x:c r="D53" t="str">
        <x:v>2025-09-15</x:v>
      </x:c>
      <x:c r="E53" t="str">
        <x:v>Clôturé</x:v>
      </x:c>
      <x:c r="F53" s="12" t="n">
        <x:v>4</x:v>
      </x:c>
      <x:c r="G53" s="12" t="n">
        <x:v>1</x:v>
      </x:c>
      <x:c r="H53" s="12" t="n">
        <x:v>3</x:v>
      </x:c>
      <x:c r="I53" s="12" t="n">
        <x:v>5</x:v>
      </x:c>
      <x:c r="J53" s="12" t="n">
        <x:v>3</x:v>
      </x:c>
      <x:c r="K53" s="12" t="n">
        <x:v>2</x:v>
      </x:c>
      <x:c r="L53" s="14" t="n">
        <x:f>ROUND((F53*PARAMETRES!$B$2+G53*PARAMETRES!$B$3+H53*PARAMETRES!$B$4+I53*PARAMETRES!$B$5+J53*PARAMETRES!$B$6+K53*PARAMETRES!$B$7)/5,0)</x:f>
        <x:v>61</x:v>
      </x:c>
      <x:c r="M53" s="14" t="str">
        <x:f>IF(L53&gt;=PARAMETRES!$B$9,"HAUTE",IF(L53&gt;=PARAMETRES!$B$10,"MOYENNE","BASSE"))</x:f>
        <x:v>MOYENNE</x:v>
      </x:c>
      <x:c r="N53" t="str">
        <x:f>IF(H53&gt;=4,"Similarité historique forte; ","")&amp;IF(G53&gt;=4,"Récurrence élevée; ","")&amp;IF(I53&gt;=4,"Avis ancien/reporté; ","")&amp;IF(F53&gt;=4,"Equipement critique; ","")</x:f>
        <x:v>Avis ancien/reporté; Equipement critique; </x:v>
      </x:c>
      <x:c r="O53" t="str">
        <x:v>À vérifier</x:v>
      </x:c>
      <x:c r="P53" t="str">
        <x:v>Hypothèse test : notes saisies manuellement, pas de prédiction IA</x:v>
      </x:c>
      <x:c r="Q53" t="n">
        <x:f>L53+(1000-53)/100000</x:f>
        <x:v>61.00947</x:v>
      </x:c>
    </x:row>
    <x:row r="54" ht="23" customHeight="1">
      <x:c r="A54" t="str">
        <x:v>AV-1053</x:v>
      </x:c>
      <x:c r="B54" t="str">
        <x:v>E05</x:v>
      </x:c>
      <x:c r="C54" t="str">
        <x:v>Pression instable</x:v>
      </x:c>
      <x:c r="D54" t="str">
        <x:v>2025-09-21</x:v>
      </x:c>
      <x:c r="E54" t="str">
        <x:v>Ouvert</x:v>
      </x:c>
      <x:c r="F54" s="12" t="n">
        <x:v>4</x:v>
      </x:c>
      <x:c r="G54" s="12" t="n">
        <x:v>0</x:v>
      </x:c>
      <x:c r="H54" s="12" t="n">
        <x:v>3</x:v>
      </x:c>
      <x:c r="I54" s="12" t="n">
        <x:v>0</x:v>
      </x:c>
      <x:c r="J54" s="12" t="n">
        <x:v>2</x:v>
      </x:c>
      <x:c r="K54" s="12" t="n">
        <x:v>0</x:v>
      </x:c>
      <x:c r="L54" s="14" t="n">
        <x:f>ROUND((F54*PARAMETRES!$B$2+G54*PARAMETRES!$B$3+H54*PARAMETRES!$B$4+I54*PARAMETRES!$B$5+J54*PARAMETRES!$B$6+K54*PARAMETRES!$B$7)/5,0)</x:f>
        <x:v>36</x:v>
      </x:c>
      <x:c r="M54" s="14" t="str">
        <x:f>IF(L54&gt;=PARAMETRES!$B$9,"HAUTE",IF(L54&gt;=PARAMETRES!$B$10,"MOYENNE","BASSE"))</x:f>
        <x:v>BASSE</x:v>
      </x:c>
      <x:c r="N54" t="str">
        <x:f>IF(H54&gt;=4,"Similarité historique forte; ","")&amp;IF(G54&gt;=4,"Récurrence élevée; ","")&amp;IF(I54&gt;=4,"Avis ancien/reporté; ","")&amp;IF(F54&gt;=4,"Equipement critique; ","")</x:f>
        <x:v>Equipement critique; </x:v>
      </x:c>
      <x:c r="O54" t="str">
        <x:v>À vérifier</x:v>
      </x:c>
      <x:c r="P54" t="str">
        <x:v>Hypothèse test : notes saisies manuellement, pas de prédiction IA</x:v>
      </x:c>
      <x:c r="Q54" t="n">
        <x:f>L54+(1000-54)/100000</x:f>
        <x:v>36.00946</x:v>
      </x:c>
    </x:row>
    <x:row r="55" ht="23" customHeight="1">
      <x:c r="A55" t="str">
        <x:v>AV-1054</x:v>
      </x:c>
      <x:c r="B55" t="str">
        <x:v>E12</x:v>
      </x:c>
      <x:c r="C55" t="str">
        <x:v>Jeu mécanique observé</x:v>
      </x:c>
      <x:c r="D55" t="str">
        <x:v>2025-09-26</x:v>
      </x:c>
      <x:c r="E55" t="str">
        <x:v>Ouvert</x:v>
      </x:c>
      <x:c r="F55" s="12" t="n">
        <x:v>5</x:v>
      </x:c>
      <x:c r="G55" s="12" t="n">
        <x:v>5</x:v>
      </x:c>
      <x:c r="H55" s="12" t="n">
        <x:v>4</x:v>
      </x:c>
      <x:c r="I55" s="12" t="n">
        <x:v>3</x:v>
      </x:c>
      <x:c r="J55" s="12" t="n">
        <x:v>3</x:v>
      </x:c>
      <x:c r="K55" s="12" t="n">
        <x:v>1</x:v>
      </x:c>
      <x:c r="L55" s="14" t="n">
        <x:f>ROUND((F55*PARAMETRES!$B$2+G55*PARAMETRES!$B$3+H55*PARAMETRES!$B$4+I55*PARAMETRES!$B$5+J55*PARAMETRES!$B$6+K55*PARAMETRES!$B$7)/5,0)</x:f>
        <x:v>78</x:v>
      </x:c>
      <x:c r="M55" s="14" t="str">
        <x:f>IF(L55&gt;=PARAMETRES!$B$9,"HAUTE",IF(L55&gt;=PARAMETRES!$B$10,"MOYENNE","BASSE"))</x:f>
        <x:v>HAUTE</x:v>
      </x:c>
      <x:c r="N55" t="str">
        <x:f>IF(H55&gt;=4,"Similarité historique forte; ","")&amp;IF(G55&gt;=4,"Récurrence élevée; ","")&amp;IF(I55&gt;=4,"Avis ancien/reporté; ","")&amp;IF(F55&gt;=4,"Equipement critique; ","")</x:f>
        <x:v>Similarité historique forte; Récurrence élevée; Equipement critique; </x:v>
      </x:c>
      <x:c r="O55" t="str">
        <x:v>À vérifier</x:v>
      </x:c>
      <x:c r="P55" t="str">
        <x:v>Hypothèse test : notes saisies manuellement, pas de prédiction IA</x:v>
      </x:c>
      <x:c r="Q55" t="n">
        <x:f>L55+(1000-55)/100000</x:f>
        <x:v>78.00945</x:v>
      </x:c>
    </x:row>
    <x:row r="56" ht="23" customHeight="1">
      <x:c r="A56" t="str">
        <x:v>AV-1055</x:v>
      </x:c>
      <x:c r="B56" t="str">
        <x:v>E07</x:v>
      </x:c>
      <x:c r="C56" t="str">
        <x:v>Bruit intermittent</x:v>
      </x:c>
      <x:c r="D56" t="str">
        <x:v>2025-10-02</x:v>
      </x:c>
      <x:c r="E56" t="str">
        <x:v>Clôturé</x:v>
      </x:c>
      <x:c r="F56" s="12" t="n">
        <x:v>5</x:v>
      </x:c>
      <x:c r="G56" s="12" t="n">
        <x:v>5</x:v>
      </x:c>
      <x:c r="H56" s="12" t="n">
        <x:v>2</x:v>
      </x:c>
      <x:c r="I56" s="12" t="n">
        <x:v>5</x:v>
      </x:c>
      <x:c r="J56" s="12" t="n">
        <x:v>3</x:v>
      </x:c>
      <x:c r="K56" s="12" t="n">
        <x:v>0</x:v>
      </x:c>
      <x:c r="L56" s="14" t="n">
        <x:f>ROUND((F56*PARAMETRES!$B$2+G56*PARAMETRES!$B$3+H56*PARAMETRES!$B$4+I56*PARAMETRES!$B$5+J56*PARAMETRES!$B$6+K56*PARAMETRES!$B$7)/5,0)</x:f>
        <x:v>74</x:v>
      </x:c>
      <x:c r="M56" s="14" t="str">
        <x:f>IF(L56&gt;=PARAMETRES!$B$9,"HAUTE",IF(L56&gt;=PARAMETRES!$B$10,"MOYENNE","BASSE"))</x:f>
        <x:v>MOYENNE</x:v>
      </x:c>
      <x:c r="N56" t="str">
        <x:f>IF(H56&gt;=4,"Similarité historique forte; ","")&amp;IF(G56&gt;=4,"Récurrence élevée; ","")&amp;IF(I56&gt;=4,"Avis ancien/reporté; ","")&amp;IF(F56&gt;=4,"Equipement critique; ","")</x:f>
        <x:v>Récurrence élevée; Avis ancien/reporté; Equipement critique; </x:v>
      </x:c>
      <x:c r="O56" t="str">
        <x:v>À vérifier</x:v>
      </x:c>
      <x:c r="P56" t="str">
        <x:v>Hypothèse test : notes saisies manuellement, pas de prédiction IA</x:v>
      </x:c>
      <x:c r="Q56" t="n">
        <x:f>L56+(1000-56)/100000</x:f>
        <x:v>74.00944</x:v>
      </x:c>
    </x:row>
    <x:row r="57" ht="23" customHeight="1">
      <x:c r="A57" t="str">
        <x:v>AV-1056</x:v>
      </x:c>
      <x:c r="B57" t="str">
        <x:v>E02</x:v>
      </x:c>
      <x:c r="C57" t="str">
        <x:v>Défaut capteur intermittent</x:v>
      </x:c>
      <x:c r="D57" t="str">
        <x:v>2025-10-03</x:v>
      </x:c>
      <x:c r="E57" t="str">
        <x:v>Ouvert</x:v>
      </x:c>
      <x:c r="F57" s="12" t="n">
        <x:v>5</x:v>
      </x:c>
      <x:c r="G57" s="12" t="n">
        <x:v>5</x:v>
      </x:c>
      <x:c r="H57" s="12" t="n">
        <x:v>0</x:v>
      </x:c>
      <x:c r="I57" s="12" t="n">
        <x:v>4</x:v>
      </x:c>
      <x:c r="J57" s="12" t="n">
        <x:v>3</x:v>
      </x:c>
      <x:c r="K57" s="12" t="n">
        <x:v>1</x:v>
      </x:c>
      <x:c r="L57" s="14" t="n">
        <x:f>ROUND((F57*PARAMETRES!$B$2+G57*PARAMETRES!$B$3+H57*PARAMETRES!$B$4+I57*PARAMETRES!$B$5+J57*PARAMETRES!$B$6+K57*PARAMETRES!$B$7)/5,0)</x:f>
        <x:v>65</x:v>
      </x:c>
      <x:c r="M57" s="14" t="str">
        <x:f>IF(L57&gt;=PARAMETRES!$B$9,"HAUTE",IF(L57&gt;=PARAMETRES!$B$10,"MOYENNE","BASSE"))</x:f>
        <x:v>MOYENNE</x:v>
      </x:c>
      <x:c r="N57" t="str">
        <x:f>IF(H57&gt;=4,"Similarité historique forte; ","")&amp;IF(G57&gt;=4,"Récurrence élevée; ","")&amp;IF(I57&gt;=4,"Avis ancien/reporté; ","")&amp;IF(F57&gt;=4,"Equipement critique; ","")</x:f>
        <x:v>Récurrence élevée; Avis ancien/reporté; Equipement critique; </x:v>
      </x:c>
      <x:c r="O57" t="str">
        <x:v>À vérifier</x:v>
      </x:c>
      <x:c r="P57" t="str">
        <x:v>Hypothèse test : notes saisies manuellement, pas de prédiction IA</x:v>
      </x:c>
      <x:c r="Q57" t="n">
        <x:f>L57+(1000-57)/100000</x:f>
        <x:v>65.00943</x:v>
      </x:c>
    </x:row>
    <x:row r="58" ht="23" customHeight="1">
      <x:c r="A58" t="str">
        <x:v>AV-1057</x:v>
      </x:c>
      <x:c r="B58" t="str">
        <x:v>E09</x:v>
      </x:c>
      <x:c r="C58" t="str">
        <x:v>Fuite d’huile progressive</x:v>
      </x:c>
      <x:c r="D58" t="str">
        <x:v>2025-10-10</x:v>
      </x:c>
      <x:c r="E58" t="str">
        <x:v>Ouvert</x:v>
      </x:c>
      <x:c r="F58" s="12" t="n">
        <x:v>3</x:v>
      </x:c>
      <x:c r="G58" s="12" t="n">
        <x:v>4</x:v>
      </x:c>
      <x:c r="H58" s="12" t="n">
        <x:v>3</x:v>
      </x:c>
      <x:c r="I58" s="12" t="n">
        <x:v>0</x:v>
      </x:c>
      <x:c r="J58" s="12" t="n">
        <x:v>2</x:v>
      </x:c>
      <x:c r="K58" s="12" t="n">
        <x:v>4</x:v>
      </x:c>
      <x:c r="L58" s="14" t="n">
        <x:f>ROUND((F58*PARAMETRES!$B$2+G58*PARAMETRES!$B$3+H58*PARAMETRES!$B$4+I58*PARAMETRES!$B$5+J58*PARAMETRES!$B$6+K58*PARAMETRES!$B$7)/5,0)</x:f>
        <x:v>55</x:v>
      </x:c>
      <x:c r="M58" s="14" t="str">
        <x:f>IF(L58&gt;=PARAMETRES!$B$9,"HAUTE",IF(L58&gt;=PARAMETRES!$B$10,"MOYENNE","BASSE"))</x:f>
        <x:v>MOYENNE</x:v>
      </x:c>
      <x:c r="N58" t="str">
        <x:f>IF(H58&gt;=4,"Similarité historique forte; ","")&amp;IF(G58&gt;=4,"Récurrence élevée; ","")&amp;IF(I58&gt;=4,"Avis ancien/reporté; ","")&amp;IF(F58&gt;=4,"Equipement critique; ","")</x:f>
        <x:v>Récurrence élevée; </x:v>
      </x:c>
      <x:c r="O58" t="str">
        <x:v>À vérifier</x:v>
      </x:c>
      <x:c r="P58" t="str">
        <x:v>Hypothèse test : notes saisies manuellement, pas de prédiction IA</x:v>
      </x:c>
      <x:c r="Q58" t="n">
        <x:f>L58+(1000-58)/100000</x:f>
        <x:v>55.00942</x:v>
      </x:c>
    </x:row>
    <x:row r="59" ht="23" customHeight="1">
      <x:c r="A59" t="str">
        <x:v>AV-1058</x:v>
      </x:c>
      <x:c r="B59" t="str">
        <x:v>E04</x:v>
      </x:c>
      <x:c r="C59" t="str">
        <x:v>Température élevée</x:v>
      </x:c>
      <x:c r="D59" t="str">
        <x:v>2025-10-16</x:v>
      </x:c>
      <x:c r="E59" t="str">
        <x:v>Clôturé</x:v>
      </x:c>
      <x:c r="F59" s="12" t="n">
        <x:v>4</x:v>
      </x:c>
      <x:c r="G59" s="12" t="n">
        <x:v>5</x:v>
      </x:c>
      <x:c r="H59" s="12" t="n">
        <x:v>0</x:v>
      </x:c>
      <x:c r="I59" s="12" t="n">
        <x:v>3</x:v>
      </x:c>
      <x:c r="J59" s="12" t="n">
        <x:v>2</x:v>
      </x:c>
      <x:c r="K59" s="12" t="n">
        <x:v>5</x:v>
      </x:c>
      <x:c r="L59" s="14" t="n">
        <x:f>ROUND((F59*PARAMETRES!$B$2+G59*PARAMETRES!$B$3+H59*PARAMETRES!$B$4+I59*PARAMETRES!$B$5+J59*PARAMETRES!$B$6+K59*PARAMETRES!$B$7)/5,0)</x:f>
        <x:v>63</x:v>
      </x:c>
      <x:c r="M59" s="14" t="str">
        <x:f>IF(L59&gt;=PARAMETRES!$B$9,"HAUTE",IF(L59&gt;=PARAMETRES!$B$10,"MOYENNE","BASSE"))</x:f>
        <x:v>MOYENNE</x:v>
      </x:c>
      <x:c r="N59" t="str">
        <x:f>IF(H59&gt;=4,"Similarité historique forte; ","")&amp;IF(G59&gt;=4,"Récurrence élevée; ","")&amp;IF(I59&gt;=4,"Avis ancien/reporté; ","")&amp;IF(F59&gt;=4,"Equipement critique; ","")</x:f>
        <x:v>Récurrence élevée; Equipement critique; </x:v>
      </x:c>
      <x:c r="O59" t="str">
        <x:v>À vérifier</x:v>
      </x:c>
      <x:c r="P59" t="str">
        <x:v>Hypothèse test : notes saisies manuellement, pas de prédiction IA</x:v>
      </x:c>
      <x:c r="Q59" t="n">
        <x:f>L59+(1000-59)/100000</x:f>
        <x:v>63.00941</x:v>
      </x:c>
    </x:row>
    <x:row r="60" ht="23" customHeight="1">
      <x:c r="A60" t="str">
        <x:v>AV-1059</x:v>
      </x:c>
      <x:c r="B60" t="str">
        <x:v>E11</x:v>
      </x:c>
      <x:c r="C60" t="str">
        <x:v>Débit irrégulier</x:v>
      </x:c>
      <x:c r="D60" t="str">
        <x:v>2025-10-18</x:v>
      </x:c>
      <x:c r="E60" t="str">
        <x:v>Ouvert</x:v>
      </x:c>
      <x:c r="F60" s="12" t="n">
        <x:v>3</x:v>
      </x:c>
      <x:c r="G60" s="12" t="n">
        <x:v>5</x:v>
      </x:c>
      <x:c r="H60" s="12" t="n">
        <x:v>4</x:v>
      </x:c>
      <x:c r="I60" s="12" t="n">
        <x:v>5</x:v>
      </x:c>
      <x:c r="J60" s="12" t="n">
        <x:v>2</x:v>
      </x:c>
      <x:c r="K60" s="12" t="n">
        <x:v>3</x:v>
      </x:c>
      <x:c r="L60" s="14" t="n">
        <x:f>ROUND((F60*PARAMETRES!$B$2+G60*PARAMETRES!$B$3+H60*PARAMETRES!$B$4+I60*PARAMETRES!$B$5+J60*PARAMETRES!$B$6+K60*PARAMETRES!$B$7)/5,0)</x:f>
        <x:v>76</x:v>
      </x:c>
      <x:c r="M60" s="14" t="str">
        <x:f>IF(L60&gt;=PARAMETRES!$B$9,"HAUTE",IF(L60&gt;=PARAMETRES!$B$10,"MOYENNE","BASSE"))</x:f>
        <x:v>HAUTE</x:v>
      </x:c>
      <x:c r="N60" t="str">
        <x:f>IF(H60&gt;=4,"Similarité historique forte; ","")&amp;IF(G60&gt;=4,"Récurrence élevée; ","")&amp;IF(I60&gt;=4,"Avis ancien/reporté; ","")&amp;IF(F60&gt;=4,"Equipement critique; ","")</x:f>
        <x:v>Similarité historique forte; Récurrence élevée; Avis ancien/reporté; </x:v>
      </x:c>
      <x:c r="O60" t="str">
        <x:v>À vérifier</x:v>
      </x:c>
      <x:c r="P60" t="str">
        <x:v>Hypothèse test : notes saisies manuellement, pas de prédiction IA</x:v>
      </x:c>
      <x:c r="Q60" t="n">
        <x:f>L60+(1000-60)/100000</x:f>
        <x:v>76.0094</x:v>
      </x:c>
    </x:row>
    <x:row r="61" ht="23" customHeight="1">
      <x:c r="A61" t="str">
        <x:v>AV-1060</x:v>
      </x:c>
      <x:c r="B61" t="str">
        <x:v>E06</x:v>
      </x:c>
      <x:c r="C61" t="str">
        <x:v>Vibration inhabituelle</x:v>
      </x:c>
      <x:c r="D61" t="str">
        <x:v>2025-10-27</x:v>
      </x:c>
      <x:c r="E61" t="str">
        <x:v>Ouvert</x:v>
      </x:c>
      <x:c r="F61" s="12" t="n">
        <x:v>3</x:v>
      </x:c>
      <x:c r="G61" s="12" t="n">
        <x:v>4</x:v>
      </x:c>
      <x:c r="H61" s="12" t="n">
        <x:v>0</x:v>
      </x:c>
      <x:c r="I61" s="12" t="n">
        <x:v>4</x:v>
      </x:c>
      <x:c r="J61" s="12" t="n">
        <x:v>0</x:v>
      </x:c>
      <x:c r="K61" s="12" t="n">
        <x:v>3</x:v>
      </x:c>
      <x:c r="L61" s="14" t="n">
        <x:f>ROUND((F61*PARAMETRES!$B$2+G61*PARAMETRES!$B$3+H61*PARAMETRES!$B$4+I61*PARAMETRES!$B$5+J61*PARAMETRES!$B$6+K61*PARAMETRES!$B$7)/5,0)</x:f>
        <x:v>49</x:v>
      </x:c>
      <x:c r="M61" s="14" t="str">
        <x:f>IF(L61&gt;=PARAMETRES!$B$9,"HAUTE",IF(L61&gt;=PARAMETRES!$B$10,"MOYENNE","BASSE"))</x:f>
        <x:v>BASSE</x:v>
      </x:c>
      <x:c r="N61" t="str">
        <x:f>IF(H61&gt;=4,"Similarité historique forte; ","")&amp;IF(G61&gt;=4,"Récurrence élevée; ","")&amp;IF(I61&gt;=4,"Avis ancien/reporté; ","")&amp;IF(F61&gt;=4,"Equipement critique; ","")</x:f>
        <x:v>Récurrence élevée; Avis ancien/reporté; </x:v>
      </x:c>
      <x:c r="O61" t="str">
        <x:v>À vérifier</x:v>
      </x:c>
      <x:c r="P61" t="str">
        <x:v>Hypothèse test : notes saisies manuellement, pas de prédiction IA</x:v>
      </x:c>
      <x:c r="Q61" t="n">
        <x:f>L61+(1000-61)/100000</x:f>
        <x:v>49.00939</x:v>
      </x:c>
    </x:row>
    <x:row r="62" ht="23" customHeight="1">
      <x:c r="A62" t="str">
        <x:v>AV-1061</x:v>
      </x:c>
      <x:c r="B62" t="str">
        <x:v>E01</x:v>
      </x:c>
      <x:c r="C62" t="str">
        <x:v>Pression instable</x:v>
      </x:c>
      <x:c r="D62" t="str">
        <x:v>2025-10-30</x:v>
      </x:c>
      <x:c r="E62" t="str">
        <x:v>Clôturé</x:v>
      </x:c>
      <x:c r="F62" s="12" t="n">
        <x:v>5</x:v>
      </x:c>
      <x:c r="G62" s="12" t="n">
        <x:v>3</x:v>
      </x:c>
      <x:c r="H62" s="12" t="n">
        <x:v>2</x:v>
      </x:c>
      <x:c r="I62" s="12" t="n">
        <x:v>4</x:v>
      </x:c>
      <x:c r="J62" s="12" t="n">
        <x:v>0</x:v>
      </x:c>
      <x:c r="K62" s="12" t="n">
        <x:v>1</x:v>
      </x:c>
      <x:c r="L62" s="14" t="n">
        <x:f>ROUND((F62*PARAMETRES!$B$2+G62*PARAMETRES!$B$3+H62*PARAMETRES!$B$4+I62*PARAMETRES!$B$5+J62*PARAMETRES!$B$6+K62*PARAMETRES!$B$7)/5,0)</x:f>
        <x:v>59</x:v>
      </x:c>
      <x:c r="M62" s="14" t="str">
        <x:f>IF(L62&gt;=PARAMETRES!$B$9,"HAUTE",IF(L62&gt;=PARAMETRES!$B$10,"MOYENNE","BASSE"))</x:f>
        <x:v>MOYENNE</x:v>
      </x:c>
      <x:c r="N62" t="str">
        <x:f>IF(H62&gt;=4,"Similarité historique forte; ","")&amp;IF(G62&gt;=4,"Récurrence élevée; ","")&amp;IF(I62&gt;=4,"Avis ancien/reporté; ","")&amp;IF(F62&gt;=4,"Equipement critique; ","")</x:f>
        <x:v>Avis ancien/reporté; Equipement critique; </x:v>
      </x:c>
      <x:c r="O62" t="str">
        <x:v>À vérifier</x:v>
      </x:c>
      <x:c r="P62" t="str">
        <x:v>Hypothèse test : notes saisies manuellement, pas de prédiction IA</x:v>
      </x:c>
      <x:c r="Q62" t="n">
        <x:f>L62+(1000-62)/100000</x:f>
        <x:v>59.00938</x:v>
      </x:c>
    </x:row>
    <x:row r="63" ht="23" customHeight="1">
      <x:c r="A63" t="str">
        <x:v>AV-1062</x:v>
      </x:c>
      <x:c r="B63" t="str">
        <x:v>E08</x:v>
      </x:c>
      <x:c r="C63" t="str">
        <x:v>Jeu mécanique observé</x:v>
      </x:c>
      <x:c r="D63" t="str">
        <x:v>2025-11-03</x:v>
      </x:c>
      <x:c r="E63" t="str">
        <x:v>Ouvert</x:v>
      </x:c>
      <x:c r="F63" s="12" t="n">
        <x:v>3</x:v>
      </x:c>
      <x:c r="G63" s="12" t="n">
        <x:v>0</x:v>
      </x:c>
      <x:c r="H63" s="12" t="n">
        <x:v>1</x:v>
      </x:c>
      <x:c r="I63" s="12" t="n">
        <x:v>5</x:v>
      </x:c>
      <x:c r="J63" s="12" t="n">
        <x:v>1</x:v>
      </x:c>
      <x:c r="K63" s="12" t="n">
        <x:v>3</x:v>
      </x:c>
      <x:c r="L63" s="14" t="n">
        <x:f>ROUND((F63*PARAMETRES!$B$2+G63*PARAMETRES!$B$3+H63*PARAMETRES!$B$4+I63*PARAMETRES!$B$5+J63*PARAMETRES!$B$6+K63*PARAMETRES!$B$7)/5,0)</x:f>
        <x:v>42</x:v>
      </x:c>
      <x:c r="M63" s="14" t="str">
        <x:f>IF(L63&gt;=PARAMETRES!$B$9,"HAUTE",IF(L63&gt;=PARAMETRES!$B$10,"MOYENNE","BASSE"))</x:f>
        <x:v>BASSE</x:v>
      </x:c>
      <x:c r="N63" t="str">
        <x:f>IF(H63&gt;=4,"Similarité historique forte; ","")&amp;IF(G63&gt;=4,"Récurrence élevée; ","")&amp;IF(I63&gt;=4,"Avis ancien/reporté; ","")&amp;IF(F63&gt;=4,"Equipement critique; ","")</x:f>
        <x:v>Avis ancien/reporté; </x:v>
      </x:c>
      <x:c r="O63" t="str">
        <x:v>À vérifier</x:v>
      </x:c>
      <x:c r="P63" t="str">
        <x:v>Hypothèse test : notes saisies manuellement, pas de prédiction IA</x:v>
      </x:c>
      <x:c r="Q63" t="n">
        <x:f>L63+(1000-63)/100000</x:f>
        <x:v>42.00937</x:v>
      </x:c>
    </x:row>
    <x:row r="64" ht="23" customHeight="1">
      <x:c r="A64" t="str">
        <x:v>AV-1063</x:v>
      </x:c>
      <x:c r="B64" t="str">
        <x:v>E03</x:v>
      </x:c>
      <x:c r="C64" t="str">
        <x:v>Bruit intermittent</x:v>
      </x:c>
      <x:c r="D64" t="str">
        <x:v>2025-11-07</x:v>
      </x:c>
      <x:c r="E64" t="str">
        <x:v>Ouvert</x:v>
      </x:c>
      <x:c r="F64" s="12" t="n">
        <x:v>4</x:v>
      </x:c>
      <x:c r="G64" s="12" t="n">
        <x:v>3</x:v>
      </x:c>
      <x:c r="H64" s="12" t="n">
        <x:v>3</x:v>
      </x:c>
      <x:c r="I64" s="12" t="n">
        <x:v>4</x:v>
      </x:c>
      <x:c r="J64" s="12" t="n">
        <x:v>1</x:v>
      </x:c>
      <x:c r="K64" s="12" t="n">
        <x:v>2</x:v>
      </x:c>
      <x:c r="L64" s="14" t="n">
        <x:f>ROUND((F64*PARAMETRES!$B$2+G64*PARAMETRES!$B$3+H64*PARAMETRES!$B$4+I64*PARAMETRES!$B$5+J64*PARAMETRES!$B$6+K64*PARAMETRES!$B$7)/5,0)</x:f>
        <x:v>62</x:v>
      </x:c>
      <x:c r="M64" s="14" t="str">
        <x:f>IF(L64&gt;=PARAMETRES!$B$9,"HAUTE",IF(L64&gt;=PARAMETRES!$B$10,"MOYENNE","BASSE"))</x:f>
        <x:v>MOYENNE</x:v>
      </x:c>
      <x:c r="N64" t="str">
        <x:f>IF(H64&gt;=4,"Similarité historique forte; ","")&amp;IF(G64&gt;=4,"Récurrence élevée; ","")&amp;IF(I64&gt;=4,"Avis ancien/reporté; ","")&amp;IF(F64&gt;=4,"Equipement critique; ","")</x:f>
        <x:v>Avis ancien/reporté; Equipement critique; </x:v>
      </x:c>
      <x:c r="O64" t="str">
        <x:v>À vérifier</x:v>
      </x:c>
      <x:c r="P64" t="str">
        <x:v>Hypothèse test : notes saisies manuellement, pas de prédiction IA</x:v>
      </x:c>
      <x:c r="Q64" t="n">
        <x:f>L64+(1000-64)/100000</x:f>
        <x:v>62.00936</x:v>
      </x:c>
    </x:row>
    <x:row r="65" ht="23" customHeight="1">
      <x:c r="A65" t="str">
        <x:v>AV-1064</x:v>
      </x:c>
      <x:c r="B65" t="str">
        <x:v>E10</x:v>
      </x:c>
      <x:c r="C65" t="str">
        <x:v>Défaut capteur intermittent</x:v>
      </x:c>
      <x:c r="D65" t="str">
        <x:v>2025-11-14</x:v>
      </x:c>
      <x:c r="E65" t="str">
        <x:v>Clôturé</x:v>
      </x:c>
      <x:c r="F65" s="12" t="n">
        <x:v>4</x:v>
      </x:c>
      <x:c r="G65" s="12" t="n">
        <x:v>0</x:v>
      </x:c>
      <x:c r="H65" s="12" t="n">
        <x:v>0</x:v>
      </x:c>
      <x:c r="I65" s="12" t="n">
        <x:v>4</x:v>
      </x:c>
      <x:c r="J65" s="12" t="n">
        <x:v>0</x:v>
      </x:c>
      <x:c r="K65" s="12" t="n">
        <x:v>4</x:v>
      </x:c>
      <x:c r="L65" s="14" t="n">
        <x:f>ROUND((F65*PARAMETRES!$B$2+G65*PARAMETRES!$B$3+H65*PARAMETRES!$B$4+I65*PARAMETRES!$B$5+J65*PARAMETRES!$B$6+K65*PARAMETRES!$B$7)/5,0)</x:f>
        <x:v>40</x:v>
      </x:c>
      <x:c r="M65" s="14" t="str">
        <x:f>IF(L65&gt;=PARAMETRES!$B$9,"HAUTE",IF(L65&gt;=PARAMETRES!$B$10,"MOYENNE","BASSE"))</x:f>
        <x:v>BASSE</x:v>
      </x:c>
      <x:c r="N65" t="str">
        <x:f>IF(H65&gt;=4,"Similarité historique forte; ","")&amp;IF(G65&gt;=4,"Récurrence élevée; ","")&amp;IF(I65&gt;=4,"Avis ancien/reporté; ","")&amp;IF(F65&gt;=4,"Equipement critique; ","")</x:f>
        <x:v>Avis ancien/reporté; Equipement critique; </x:v>
      </x:c>
      <x:c r="O65" t="str">
        <x:v>À vérifier</x:v>
      </x:c>
      <x:c r="P65" t="str">
        <x:v>Hypothèse test : notes saisies manuellement, pas de prédiction IA</x:v>
      </x:c>
      <x:c r="Q65" t="n">
        <x:f>L65+(1000-65)/100000</x:f>
        <x:v>40.00935</x:v>
      </x:c>
    </x:row>
    <x:row r="66" ht="23" customHeight="1">
      <x:c r="A66" t="str">
        <x:v>AV-1065</x:v>
      </x:c>
      <x:c r="B66" t="str">
        <x:v>E05</x:v>
      </x:c>
      <x:c r="C66" t="str">
        <x:v>Fuite d’huile progressive</x:v>
      </x:c>
      <x:c r="D66" t="str">
        <x:v>2025-11-17</x:v>
      </x:c>
      <x:c r="E66" t="str">
        <x:v>Ouvert</x:v>
      </x:c>
      <x:c r="F66" s="12" t="n">
        <x:v>4</x:v>
      </x:c>
      <x:c r="G66" s="12" t="n">
        <x:v>5</x:v>
      </x:c>
      <x:c r="H66" s="12" t="n">
        <x:v>4</x:v>
      </x:c>
      <x:c r="I66" s="12" t="n">
        <x:v>5</x:v>
      </x:c>
      <x:c r="J66" s="12" t="n">
        <x:v>0</x:v>
      </x:c>
      <x:c r="K66" s="12" t="n">
        <x:v>2</x:v>
      </x:c>
      <x:c r="L66" s="14" t="n">
        <x:f>ROUND((F66*PARAMETRES!$B$2+G66*PARAMETRES!$B$3+H66*PARAMETRES!$B$4+I66*PARAMETRES!$B$5+J66*PARAMETRES!$B$6+K66*PARAMETRES!$B$7)/5,0)</x:f>
        <x:v>75</x:v>
      </x:c>
      <x:c r="M66" s="14" t="str">
        <x:f>IF(L66&gt;=PARAMETRES!$B$9,"HAUTE",IF(L66&gt;=PARAMETRES!$B$10,"MOYENNE","BASSE"))</x:f>
        <x:v>HAUTE</x:v>
      </x:c>
      <x:c r="N66" t="str">
        <x:f>IF(H66&gt;=4,"Similarité historique forte; ","")&amp;IF(G66&gt;=4,"Récurrence élevée; ","")&amp;IF(I66&gt;=4,"Avis ancien/reporté; ","")&amp;IF(F66&gt;=4,"Equipement critique; ","")</x:f>
        <x:v>Similarité historique forte; Récurrence élevée; Avis ancien/reporté; Equipement critique; </x:v>
      </x:c>
      <x:c r="O66" t="str">
        <x:v>À vérifier</x:v>
      </x:c>
      <x:c r="P66" t="str">
        <x:v>Hypothèse test : notes saisies manuellement, pas de prédiction IA</x:v>
      </x:c>
      <x:c r="Q66" t="n">
        <x:f>L66+(1000-66)/100000</x:f>
        <x:v>75.00934</x:v>
      </x:c>
    </x:row>
    <x:row r="67" ht="23" customHeight="1">
      <x:c r="A67" t="str">
        <x:v>AV-1066</x:v>
      </x:c>
      <x:c r="B67" t="str">
        <x:v>E12</x:v>
      </x:c>
      <x:c r="C67" t="str">
        <x:v>Température élevée</x:v>
      </x:c>
      <x:c r="D67" t="str">
        <x:v>2025-11-25</x:v>
      </x:c>
      <x:c r="E67" t="str">
        <x:v>Ouvert</x:v>
      </x:c>
      <x:c r="F67" s="12" t="n">
        <x:v>5</x:v>
      </x:c>
      <x:c r="G67" s="12" t="n">
        <x:v>2</x:v>
      </x:c>
      <x:c r="H67" s="12" t="n">
        <x:v>4</x:v>
      </x:c>
      <x:c r="I67" s="12" t="n">
        <x:v>3</x:v>
      </x:c>
      <x:c r="J67" s="12" t="n">
        <x:v>1</x:v>
      </x:c>
      <x:c r="K67" s="12" t="n">
        <x:v>4</x:v>
      </x:c>
      <x:c r="L67" s="14" t="n">
        <x:f>ROUND((F67*PARAMETRES!$B$2+G67*PARAMETRES!$B$3+H67*PARAMETRES!$B$4+I67*PARAMETRES!$B$5+J67*PARAMETRES!$B$6+K67*PARAMETRES!$B$7)/5,0)</x:f>
        <x:v>68</x:v>
      </x:c>
      <x:c r="M67" s="14" t="str">
        <x:f>IF(L67&gt;=PARAMETRES!$B$9,"HAUTE",IF(L67&gt;=PARAMETRES!$B$10,"MOYENNE","BASSE"))</x:f>
        <x:v>MOYENNE</x:v>
      </x:c>
      <x:c r="N67" t="str">
        <x:f>IF(H67&gt;=4,"Similarité historique forte; ","")&amp;IF(G67&gt;=4,"Récurrence élevée; ","")&amp;IF(I67&gt;=4,"Avis ancien/reporté; ","")&amp;IF(F67&gt;=4,"Equipement critique; ","")</x:f>
        <x:v>Similarité historique forte; Equipement critique; </x:v>
      </x:c>
      <x:c r="O67" t="str">
        <x:v>À vérifier</x:v>
      </x:c>
      <x:c r="P67" t="str">
        <x:v>Hypothèse test : notes saisies manuellement, pas de prédiction IA</x:v>
      </x:c>
      <x:c r="Q67" t="n">
        <x:f>L67+(1000-67)/100000</x:f>
        <x:v>68.00933</x:v>
      </x:c>
    </x:row>
    <x:row r="68" ht="23" customHeight="1">
      <x:c r="A68" t="str">
        <x:v>AV-1067</x:v>
      </x:c>
      <x:c r="B68" t="str">
        <x:v>E07</x:v>
      </x:c>
      <x:c r="C68" t="str">
        <x:v>Débit irrégulier</x:v>
      </x:c>
      <x:c r="D68" t="str">
        <x:v>2025-12-01</x:v>
      </x:c>
      <x:c r="E68" t="str">
        <x:v>Clôturé</x:v>
      </x:c>
      <x:c r="F68" s="12" t="n">
        <x:v>5</x:v>
      </x:c>
      <x:c r="G68" s="12" t="n">
        <x:v>3</x:v>
      </x:c>
      <x:c r="H68" s="12" t="n">
        <x:v>2</x:v>
      </x:c>
      <x:c r="I68" s="12" t="n">
        <x:v>5</x:v>
      </x:c>
      <x:c r="J68" s="12" t="n">
        <x:v>3</x:v>
      </x:c>
      <x:c r="K68" s="12" t="n">
        <x:v>1</x:v>
      </x:c>
      <x:c r="L68" s="14" t="n">
        <x:f>ROUND((F68*PARAMETRES!$B$2+G68*PARAMETRES!$B$3+H68*PARAMETRES!$B$4+I68*PARAMETRES!$B$5+J68*PARAMETRES!$B$6+K68*PARAMETRES!$B$7)/5,0)</x:f>
        <x:v>68</x:v>
      </x:c>
      <x:c r="M68" s="14" t="str">
        <x:f>IF(L68&gt;=PARAMETRES!$B$9,"HAUTE",IF(L68&gt;=PARAMETRES!$B$10,"MOYENNE","BASSE"))</x:f>
        <x:v>MOYENNE</x:v>
      </x:c>
      <x:c r="N68" t="str">
        <x:f>IF(H68&gt;=4,"Similarité historique forte; ","")&amp;IF(G68&gt;=4,"Récurrence élevée; ","")&amp;IF(I68&gt;=4,"Avis ancien/reporté; ","")&amp;IF(F68&gt;=4,"Equipement critique; ","")</x:f>
        <x:v>Avis ancien/reporté; Equipement critique; </x:v>
      </x:c>
      <x:c r="O68" t="str">
        <x:v>À vérifier</x:v>
      </x:c>
      <x:c r="P68" t="str">
        <x:v>Hypothèse test : notes saisies manuellement, pas de prédiction IA</x:v>
      </x:c>
      <x:c r="Q68" t="n">
        <x:f>L68+(1000-68)/100000</x:f>
        <x:v>68.00932</x:v>
      </x:c>
    </x:row>
    <x:row r="69" ht="23" customHeight="1">
      <x:c r="A69" t="str">
        <x:v>AV-1068</x:v>
      </x:c>
      <x:c r="B69" t="str">
        <x:v>E02</x:v>
      </x:c>
      <x:c r="C69" t="str">
        <x:v>Vibration inhabituelle</x:v>
      </x:c>
      <x:c r="D69" t="str">
        <x:v>2025-12-04</x:v>
      </x:c>
      <x:c r="E69" t="str">
        <x:v>Ouvert</x:v>
      </x:c>
      <x:c r="F69" s="12" t="n">
        <x:v>5</x:v>
      </x:c>
      <x:c r="G69" s="12" t="n">
        <x:v>2</x:v>
      </x:c>
      <x:c r="H69" s="12" t="n">
        <x:v>2</x:v>
      </x:c>
      <x:c r="I69" s="12" t="n">
        <x:v>2</x:v>
      </x:c>
      <x:c r="J69" s="12" t="n">
        <x:v>3</x:v>
      </x:c>
      <x:c r="K69" s="12" t="n">
        <x:v>0</x:v>
      </x:c>
      <x:c r="L69" s="14" t="n">
        <x:f>ROUND((F69*PARAMETRES!$B$2+G69*PARAMETRES!$B$3+H69*PARAMETRES!$B$4+I69*PARAMETRES!$B$5+J69*PARAMETRES!$B$6+K69*PARAMETRES!$B$7)/5,0)</x:f>
        <x:v>53</x:v>
      </x:c>
      <x:c r="M69" s="14" t="str">
        <x:f>IF(L69&gt;=PARAMETRES!$B$9,"HAUTE",IF(L69&gt;=PARAMETRES!$B$10,"MOYENNE","BASSE"))</x:f>
        <x:v>MOYENNE</x:v>
      </x:c>
      <x:c r="N69" t="str">
        <x:f>IF(H69&gt;=4,"Similarité historique forte; ","")&amp;IF(G69&gt;=4,"Récurrence élevée; ","")&amp;IF(I69&gt;=4,"Avis ancien/reporté; ","")&amp;IF(F69&gt;=4,"Equipement critique; ","")</x:f>
        <x:v>Equipement critique; </x:v>
      </x:c>
      <x:c r="O69" t="str">
        <x:v>À vérifier</x:v>
      </x:c>
      <x:c r="P69" t="str">
        <x:v>Hypothèse test : notes saisies manuellement, pas de prédiction IA</x:v>
      </x:c>
      <x:c r="Q69" t="n">
        <x:f>L69+(1000-69)/100000</x:f>
        <x:v>53.00931</x:v>
      </x:c>
    </x:row>
    <x:row r="70" ht="23" customHeight="1">
      <x:c r="A70" t="str">
        <x:v>AV-1069</x:v>
      </x:c>
      <x:c r="B70" t="str">
        <x:v>E09</x:v>
      </x:c>
      <x:c r="C70" t="str">
        <x:v>Pression instable</x:v>
      </x:c>
      <x:c r="D70" t="str">
        <x:v>2025-12-08</x:v>
      </x:c>
      <x:c r="E70" t="str">
        <x:v>Ouvert</x:v>
      </x:c>
      <x:c r="F70" s="12" t="n">
        <x:v>3</x:v>
      </x:c>
      <x:c r="G70" s="12" t="n">
        <x:v>2</x:v>
      </x:c>
      <x:c r="H70" s="12" t="n">
        <x:v>4</x:v>
      </x:c>
      <x:c r="I70" s="12" t="n">
        <x:v>3</x:v>
      </x:c>
      <x:c r="J70" s="12" t="n">
        <x:v>3</x:v>
      </x:c>
      <x:c r="K70" s="12" t="n">
        <x:v>2</x:v>
      </x:c>
      <x:c r="L70" s="14" t="n">
        <x:f>ROUND((F70*PARAMETRES!$B$2+G70*PARAMETRES!$B$3+H70*PARAMETRES!$B$4+I70*PARAMETRES!$B$5+J70*PARAMETRES!$B$6+K70*PARAMETRES!$B$7)/5,0)</x:f>
        <x:v>58</x:v>
      </x:c>
      <x:c r="M70" s="14" t="str">
        <x:f>IF(L70&gt;=PARAMETRES!$B$9,"HAUTE",IF(L70&gt;=PARAMETRES!$B$10,"MOYENNE","BASSE"))</x:f>
        <x:v>MOYENNE</x:v>
      </x:c>
      <x:c r="N70" t="str">
        <x:f>IF(H70&gt;=4,"Similarité historique forte; ","")&amp;IF(G70&gt;=4,"Récurrence élevée; ","")&amp;IF(I70&gt;=4,"Avis ancien/reporté; ","")&amp;IF(F70&gt;=4,"Equipement critique; ","")</x:f>
        <x:v>Similarité historique forte; </x:v>
      </x:c>
      <x:c r="O70" t="str">
        <x:v>À vérifier</x:v>
      </x:c>
      <x:c r="P70" t="str">
        <x:v>Hypothèse test : notes saisies manuellement, pas de prédiction IA</x:v>
      </x:c>
      <x:c r="Q70" t="n">
        <x:f>L70+(1000-70)/100000</x:f>
        <x:v>58.0093</x:v>
      </x:c>
    </x:row>
    <x:row r="71" ht="23" customHeight="1">
      <x:c r="A71" t="str">
        <x:v>AV-1070</x:v>
      </x:c>
      <x:c r="B71" t="str">
        <x:v>E04</x:v>
      </x:c>
      <x:c r="C71" t="str">
        <x:v>Jeu mécanique observé</x:v>
      </x:c>
      <x:c r="D71" t="str">
        <x:v>2025-12-15</x:v>
      </x:c>
      <x:c r="E71" t="str">
        <x:v>Clôturé</x:v>
      </x:c>
      <x:c r="F71" s="12" t="n">
        <x:v>4</x:v>
      </x:c>
      <x:c r="G71" s="12" t="n">
        <x:v>2</x:v>
      </x:c>
      <x:c r="H71" s="12" t="n">
        <x:v>4</x:v>
      </x:c>
      <x:c r="I71" s="12" t="n">
        <x:v>5</x:v>
      </x:c>
      <x:c r="J71" s="12" t="n">
        <x:v>2</x:v>
      </x:c>
      <x:c r="K71" s="12" t="n">
        <x:v>0</x:v>
      </x:c>
      <x:c r="L71" s="14" t="n">
        <x:f>ROUND((F71*PARAMETRES!$B$2+G71*PARAMETRES!$B$3+H71*PARAMETRES!$B$4+I71*PARAMETRES!$B$5+J71*PARAMETRES!$B$6+K71*PARAMETRES!$B$7)/5,0)</x:f>
        <x:v>63</x:v>
      </x:c>
      <x:c r="M71" s="14" t="str">
        <x:f>IF(L71&gt;=PARAMETRES!$B$9,"HAUTE",IF(L71&gt;=PARAMETRES!$B$10,"MOYENNE","BASSE"))</x:f>
        <x:v>MOYENNE</x:v>
      </x:c>
      <x:c r="N71" t="str">
        <x:f>IF(H71&gt;=4,"Similarité historique forte; ","")&amp;IF(G71&gt;=4,"Récurrence élevée; ","")&amp;IF(I71&gt;=4,"Avis ancien/reporté; ","")&amp;IF(F71&gt;=4,"Equipement critique; ","")</x:f>
        <x:v>Similarité historique forte; Avis ancien/reporté; Equipement critique; </x:v>
      </x:c>
      <x:c r="O71" t="str">
        <x:v>À vérifier</x:v>
      </x:c>
      <x:c r="P71" t="str">
        <x:v>Hypothèse test : notes saisies manuellement, pas de prédiction IA</x:v>
      </x:c>
      <x:c r="Q71" t="n">
        <x:f>L71+(1000-71)/100000</x:f>
        <x:v>63.00929</x:v>
      </x:c>
    </x:row>
    <x:row r="72" ht="23" customHeight="1">
      <x:c r="A72" t="str">
        <x:v>AV-1071</x:v>
      </x:c>
      <x:c r="B72" t="str">
        <x:v>E11</x:v>
      </x:c>
      <x:c r="C72" t="str">
        <x:v>Bruit intermittent</x:v>
      </x:c>
      <x:c r="D72" t="str">
        <x:v>2025-12-17</x:v>
      </x:c>
      <x:c r="E72" t="str">
        <x:v>Ouvert</x:v>
      </x:c>
      <x:c r="F72" s="12" t="n">
        <x:v>3</x:v>
      </x:c>
      <x:c r="G72" s="12" t="n">
        <x:v>3</x:v>
      </x:c>
      <x:c r="H72" s="12" t="n">
        <x:v>0</x:v>
      </x:c>
      <x:c r="I72" s="12" t="n">
        <x:v>1</x:v>
      </x:c>
      <x:c r="J72" s="12" t="n">
        <x:v>0</x:v>
      </x:c>
      <x:c r="K72" s="12" t="n">
        <x:v>2</x:v>
      </x:c>
      <x:c r="L72" s="14" t="n">
        <x:f>ROUND((F72*PARAMETRES!$B$2+G72*PARAMETRES!$B$3+H72*PARAMETRES!$B$4+I72*PARAMETRES!$B$5+J72*PARAMETRES!$B$6+K72*PARAMETRES!$B$7)/5,0)</x:f>
        <x:v>34</x:v>
      </x:c>
      <x:c r="M72" s="14" t="str">
        <x:f>IF(L72&gt;=PARAMETRES!$B$9,"HAUTE",IF(L72&gt;=PARAMETRES!$B$10,"MOYENNE","BASSE"))</x:f>
        <x:v>BASSE</x:v>
      </x:c>
      <x:c r="N72" t="str">
        <x:f>IF(H72&gt;=4,"Similarité historique forte; ","")&amp;IF(G72&gt;=4,"Récurrence élevée; ","")&amp;IF(I72&gt;=4,"Avis ancien/reporté; ","")&amp;IF(F72&gt;=4,"Equipement critique; ","")</x:f>
      </x:c>
      <x:c r="O72" t="str">
        <x:v>À vérifier</x:v>
      </x:c>
      <x:c r="P72" t="str">
        <x:v>Hypothèse test : notes saisies manuellement, pas de prédiction IA</x:v>
      </x:c>
      <x:c r="Q72" t="n">
        <x:f>L72+(1000-72)/100000</x:f>
        <x:v>34.00928</x:v>
      </x:c>
    </x:row>
    <x:row r="73" ht="23" customHeight="1">
      <x:c r="A73" t="str">
        <x:v>AV-1072</x:v>
      </x:c>
      <x:c r="B73" t="str">
        <x:v>E06</x:v>
      </x:c>
      <x:c r="C73" t="str">
        <x:v>Défaut capteur intermittent</x:v>
      </x:c>
      <x:c r="D73" t="str">
        <x:v>2025-12-22</x:v>
      </x:c>
      <x:c r="E73" t="str">
        <x:v>Ouvert</x:v>
      </x:c>
      <x:c r="F73" s="12" t="n">
        <x:v>3</x:v>
      </x:c>
      <x:c r="G73" s="12" t="n">
        <x:v>3</x:v>
      </x:c>
      <x:c r="H73" s="12" t="n">
        <x:v>0</x:v>
      </x:c>
      <x:c r="I73" s="12" t="n">
        <x:v>0</x:v>
      </x:c>
      <x:c r="J73" s="12" t="n">
        <x:v>4</x:v>
      </x:c>
      <x:c r="K73" s="12" t="n">
        <x:v>1</x:v>
      </x:c>
      <x:c r="L73" s="14" t="n">
        <x:f>ROUND((F73*PARAMETRES!$B$2+G73*PARAMETRES!$B$3+H73*PARAMETRES!$B$4+I73*PARAMETRES!$B$5+J73*PARAMETRES!$B$6+K73*PARAMETRES!$B$7)/5,0)</x:f>
        <x:v>37</x:v>
      </x:c>
      <x:c r="M73" s="14" t="str">
        <x:f>IF(L73&gt;=PARAMETRES!$B$9,"HAUTE",IF(L73&gt;=PARAMETRES!$B$10,"MOYENNE","BASSE"))</x:f>
        <x:v>BASSE</x:v>
      </x:c>
      <x:c r="N73" t="str">
        <x:f>IF(H73&gt;=4,"Similarité historique forte; ","")&amp;IF(G73&gt;=4,"Récurrence élevée; ","")&amp;IF(I73&gt;=4,"Avis ancien/reporté; ","")&amp;IF(F73&gt;=4,"Equipement critique; ","")</x:f>
      </x:c>
      <x:c r="O73" t="str">
        <x:v>À vérifier</x:v>
      </x:c>
      <x:c r="P73" t="str">
        <x:v>Hypothèse test : notes saisies manuellement, pas de prédiction IA</x:v>
      </x:c>
      <x:c r="Q73" t="n">
        <x:f>L73+(1000-73)/100000</x:f>
        <x:v>37.00927</x:v>
      </x:c>
    </x:row>
    <x:row r="74" ht="23" customHeight="1">
      <x:c r="A74" t="str">
        <x:v>AV-1073</x:v>
      </x:c>
      <x:c r="B74" t="str">
        <x:v>E01</x:v>
      </x:c>
      <x:c r="C74" t="str">
        <x:v>Fuite d’huile progressive</x:v>
      </x:c>
      <x:c r="D74" t="str">
        <x:v>2025-12-31</x:v>
      </x:c>
      <x:c r="E74" t="str">
        <x:v>Clôturé</x:v>
      </x:c>
      <x:c r="F74" s="12" t="n">
        <x:v>5</x:v>
      </x:c>
      <x:c r="G74" s="12" t="n">
        <x:v>2</x:v>
      </x:c>
      <x:c r="H74" s="12" t="n">
        <x:v>4</x:v>
      </x:c>
      <x:c r="I74" s="12" t="n">
        <x:v>3</x:v>
      </x:c>
      <x:c r="J74" s="12" t="n">
        <x:v>4</x:v>
      </x:c>
      <x:c r="K74" s="12" t="n">
        <x:v>0</x:v>
      </x:c>
      <x:c r="L74" s="14" t="n">
        <x:f>ROUND((F74*PARAMETRES!$B$2+G74*PARAMETRES!$B$3+H74*PARAMETRES!$B$4+I74*PARAMETRES!$B$5+J74*PARAMETRES!$B$6+K74*PARAMETRES!$B$7)/5,0)</x:f>
        <x:v>66</x:v>
      </x:c>
      <x:c r="M74" s="14" t="str">
        <x:f>IF(L74&gt;=PARAMETRES!$B$9,"HAUTE",IF(L74&gt;=PARAMETRES!$B$10,"MOYENNE","BASSE"))</x:f>
        <x:v>MOYENNE</x:v>
      </x:c>
      <x:c r="N74" t="str">
        <x:f>IF(H74&gt;=4,"Similarité historique forte; ","")&amp;IF(G74&gt;=4,"Récurrence élevée; ","")&amp;IF(I74&gt;=4,"Avis ancien/reporté; ","")&amp;IF(F74&gt;=4,"Equipement critique; ","")</x:f>
        <x:v>Similarité historique forte; Equipement critique; </x:v>
      </x:c>
      <x:c r="O74" t="str">
        <x:v>À vérifier</x:v>
      </x:c>
      <x:c r="P74" t="str">
        <x:v>Hypothèse test : notes saisies manuellement, pas de prédiction IA</x:v>
      </x:c>
      <x:c r="Q74" t="n">
        <x:f>L74+(1000-74)/100000</x:f>
        <x:v>66.00926</x:v>
      </x:c>
    </x:row>
    <x:row r="75" ht="23" customHeight="1">
      <x:c r="A75" t="str">
        <x:v>AV-1074</x:v>
      </x:c>
      <x:c r="B75" t="str">
        <x:v>E08</x:v>
      </x:c>
      <x:c r="C75" t="str">
        <x:v>Température élevée</x:v>
      </x:c>
      <x:c r="D75" t="str">
        <x:v>2026-01-03</x:v>
      </x:c>
      <x:c r="E75" t="str">
        <x:v>Ouvert</x:v>
      </x:c>
      <x:c r="F75" s="12" t="n">
        <x:v>3</x:v>
      </x:c>
      <x:c r="G75" s="12" t="n">
        <x:v>0</x:v>
      </x:c>
      <x:c r="H75" s="12" t="n">
        <x:v>0</x:v>
      </x:c>
      <x:c r="I75" s="12" t="n">
        <x:v>1</x:v>
      </x:c>
      <x:c r="J75" s="12" t="n">
        <x:v>4</x:v>
      </x:c>
      <x:c r="K75" s="12" t="n">
        <x:v>4</x:v>
      </x:c>
      <x:c r="L75" s="14" t="n">
        <x:f>ROUND((F75*PARAMETRES!$B$2+G75*PARAMETRES!$B$3+H75*PARAMETRES!$B$4+I75*PARAMETRES!$B$5+J75*PARAMETRES!$B$6+K75*PARAMETRES!$B$7)/5,0)</x:f>
        <x:v>34</x:v>
      </x:c>
      <x:c r="M75" s="14" t="str">
        <x:f>IF(L75&gt;=PARAMETRES!$B$9,"HAUTE",IF(L75&gt;=PARAMETRES!$B$10,"MOYENNE","BASSE"))</x:f>
        <x:v>BASSE</x:v>
      </x:c>
      <x:c r="N75" t="str">
        <x:f>IF(H75&gt;=4,"Similarité historique forte; ","")&amp;IF(G75&gt;=4,"Récurrence élevée; ","")&amp;IF(I75&gt;=4,"Avis ancien/reporté; ","")&amp;IF(F75&gt;=4,"Equipement critique; ","")</x:f>
      </x:c>
      <x:c r="O75" t="str">
        <x:v>À vérifier</x:v>
      </x:c>
      <x:c r="P75" t="str">
        <x:v>Hypothèse test : notes saisies manuellement, pas de prédiction IA</x:v>
      </x:c>
      <x:c r="Q75" t="n">
        <x:f>L75+(1000-75)/100000</x:f>
        <x:v>34.00925</x:v>
      </x:c>
    </x:row>
    <x:row r="76" ht="23" customHeight="1">
      <x:c r="A76" t="str">
        <x:v>AV-1075</x:v>
      </x:c>
      <x:c r="B76" t="str">
        <x:v>E03</x:v>
      </x:c>
      <x:c r="C76" t="str">
        <x:v>Débit irrégulier</x:v>
      </x:c>
      <x:c r="D76" t="str">
        <x:v>2026-01-07</x:v>
      </x:c>
      <x:c r="E76" t="str">
        <x:v>Ouvert</x:v>
      </x:c>
      <x:c r="F76" s="12" t="n">
        <x:v>4</x:v>
      </x:c>
      <x:c r="G76" s="12" t="n">
        <x:v>3</x:v>
      </x:c>
      <x:c r="H76" s="12" t="n">
        <x:v>0</x:v>
      </x:c>
      <x:c r="I76" s="12" t="n">
        <x:v>3</x:v>
      </x:c>
      <x:c r="J76" s="12" t="n">
        <x:v>3</x:v>
      </x:c>
      <x:c r="K76" s="12" t="n">
        <x:v>3</x:v>
      </x:c>
      <x:c r="L76" s="14" t="n">
        <x:f>ROUND((F76*PARAMETRES!$B$2+G76*PARAMETRES!$B$3+H76*PARAMETRES!$B$4+I76*PARAMETRES!$B$5+J76*PARAMETRES!$B$6+K76*PARAMETRES!$B$7)/5,0)</x:f>
        <x:v>53</x:v>
      </x:c>
      <x:c r="M76" s="14" t="str">
        <x:f>IF(L76&gt;=PARAMETRES!$B$9,"HAUTE",IF(L76&gt;=PARAMETRES!$B$10,"MOYENNE","BASSE"))</x:f>
        <x:v>MOYENNE</x:v>
      </x:c>
      <x:c r="N76" t="str">
        <x:f>IF(H76&gt;=4,"Similarité historique forte; ","")&amp;IF(G76&gt;=4,"Récurrence élevée; ","")&amp;IF(I76&gt;=4,"Avis ancien/reporté; ","")&amp;IF(F76&gt;=4,"Equipement critique; ","")</x:f>
        <x:v>Equipement critique; </x:v>
      </x:c>
      <x:c r="O76" t="str">
        <x:v>À vérifier</x:v>
      </x:c>
      <x:c r="P76" t="str">
        <x:v>Hypothèse test : notes saisies manuellement, pas de prédiction IA</x:v>
      </x:c>
      <x:c r="Q76" t="n">
        <x:f>L76+(1000-76)/100000</x:f>
        <x:v>53.00924</x:v>
      </x:c>
    </x:row>
    <x:row r="77" ht="23" customHeight="1">
      <x:c r="A77" t="str">
        <x:v>AV-1076</x:v>
      </x:c>
      <x:c r="B77" t="str">
        <x:v>E10</x:v>
      </x:c>
      <x:c r="C77" t="str">
        <x:v>Vibration inhabituelle</x:v>
      </x:c>
      <x:c r="D77" t="str">
        <x:v>2026-01-14</x:v>
      </x:c>
      <x:c r="E77" t="str">
        <x:v>Clôturé</x:v>
      </x:c>
      <x:c r="F77" s="12" t="n">
        <x:v>4</x:v>
      </x:c>
      <x:c r="G77" s="12" t="n">
        <x:v>4</x:v>
      </x:c>
      <x:c r="H77" s="12" t="n">
        <x:v>1</x:v>
      </x:c>
      <x:c r="I77" s="12" t="n">
        <x:v>2</x:v>
      </x:c>
      <x:c r="J77" s="12" t="n">
        <x:v>0</x:v>
      </x:c>
      <x:c r="K77" s="12" t="n">
        <x:v>2</x:v>
      </x:c>
      <x:c r="L77" s="14" t="n">
        <x:f>ROUND((F77*PARAMETRES!$B$2+G77*PARAMETRES!$B$3+H77*PARAMETRES!$B$4+I77*PARAMETRES!$B$5+J77*PARAMETRES!$B$6+K77*PARAMETRES!$B$7)/5,0)</x:f>
        <x:v>50</x:v>
      </x:c>
      <x:c r="M77" s="14" t="str">
        <x:f>IF(L77&gt;=PARAMETRES!$B$9,"HAUTE",IF(L77&gt;=PARAMETRES!$B$10,"MOYENNE","BASSE"))</x:f>
        <x:v>MOYENNE</x:v>
      </x:c>
      <x:c r="N77" t="str">
        <x:f>IF(H77&gt;=4,"Similarité historique forte; ","")&amp;IF(G77&gt;=4,"Récurrence élevée; ","")&amp;IF(I77&gt;=4,"Avis ancien/reporté; ","")&amp;IF(F77&gt;=4,"Equipement critique; ","")</x:f>
        <x:v>Récurrence élevée; Equipement critique; </x:v>
      </x:c>
      <x:c r="O77" t="str">
        <x:v>À vérifier</x:v>
      </x:c>
      <x:c r="P77" t="str">
        <x:v>Hypothèse test : notes saisies manuellement, pas de prédiction IA</x:v>
      </x:c>
      <x:c r="Q77" t="n">
        <x:f>L77+(1000-77)/100000</x:f>
        <x:v>50.00923</x:v>
      </x:c>
    </x:row>
    <x:row r="78" ht="23" customHeight="1">
      <x:c r="A78" t="str">
        <x:v>AV-1077</x:v>
      </x:c>
      <x:c r="B78" t="str">
        <x:v>E05</x:v>
      </x:c>
      <x:c r="C78" t="str">
        <x:v>Pression instable</x:v>
      </x:c>
      <x:c r="D78" t="str">
        <x:v>2026-01-20</x:v>
      </x:c>
      <x:c r="E78" t="str">
        <x:v>Ouvert</x:v>
      </x:c>
      <x:c r="F78" s="12" t="n">
        <x:v>4</x:v>
      </x:c>
      <x:c r="G78" s="12" t="n">
        <x:v>4</x:v>
      </x:c>
      <x:c r="H78" s="12" t="n">
        <x:v>3</x:v>
      </x:c>
      <x:c r="I78" s="12" t="n">
        <x:v>2</x:v>
      </x:c>
      <x:c r="J78" s="12" t="n">
        <x:v>4</x:v>
      </x:c>
      <x:c r="K78" s="12" t="n">
        <x:v>2</x:v>
      </x:c>
      <x:c r="L78" s="14" t="n">
        <x:f>ROUND((F78*PARAMETRES!$B$2+G78*PARAMETRES!$B$3+H78*PARAMETRES!$B$4+I78*PARAMETRES!$B$5+J78*PARAMETRES!$B$6+K78*PARAMETRES!$B$7)/5,0)</x:f>
        <x:v>66</x:v>
      </x:c>
      <x:c r="M78" s="14" t="str">
        <x:f>IF(L78&gt;=PARAMETRES!$B$9,"HAUTE",IF(L78&gt;=PARAMETRES!$B$10,"MOYENNE","BASSE"))</x:f>
        <x:v>MOYENNE</x:v>
      </x:c>
      <x:c r="N78" t="str">
        <x:f>IF(H78&gt;=4,"Similarité historique forte; ","")&amp;IF(G78&gt;=4,"Récurrence élevée; ","")&amp;IF(I78&gt;=4,"Avis ancien/reporté; ","")&amp;IF(F78&gt;=4,"Equipement critique; ","")</x:f>
        <x:v>Récurrence élevée; Equipement critique; </x:v>
      </x:c>
      <x:c r="O78" t="str">
        <x:v>À vérifier</x:v>
      </x:c>
      <x:c r="P78" t="str">
        <x:v>Hypothèse test : notes saisies manuellement, pas de prédiction IA</x:v>
      </x:c>
      <x:c r="Q78" t="n">
        <x:f>L78+(1000-78)/100000</x:f>
        <x:v>66.00922</x:v>
      </x:c>
    </x:row>
    <x:row r="79" ht="23" customHeight="1">
      <x:c r="A79" t="str">
        <x:v>AV-1078</x:v>
      </x:c>
      <x:c r="B79" t="str">
        <x:v>E12</x:v>
      </x:c>
      <x:c r="C79" t="str">
        <x:v>Jeu mécanique observé</x:v>
      </x:c>
      <x:c r="D79" t="str">
        <x:v>2026-01-21</x:v>
      </x:c>
      <x:c r="E79" t="str">
        <x:v>Ouvert</x:v>
      </x:c>
      <x:c r="F79" s="12" t="n">
        <x:v>5</x:v>
      </x:c>
      <x:c r="G79" s="12" t="n">
        <x:v>3</x:v>
      </x:c>
      <x:c r="H79" s="12" t="n">
        <x:v>0</x:v>
      </x:c>
      <x:c r="I79" s="12" t="n">
        <x:v>5</x:v>
      </x:c>
      <x:c r="J79" s="12" t="n">
        <x:v>0</x:v>
      </x:c>
      <x:c r="K79" s="12" t="n">
        <x:v>2</x:v>
      </x:c>
      <x:c r="L79" s="14" t="n">
        <x:f>ROUND((F79*PARAMETRES!$B$2+G79*PARAMETRES!$B$3+H79*PARAMETRES!$B$4+I79*PARAMETRES!$B$5+J79*PARAMETRES!$B$6+K79*PARAMETRES!$B$7)/5,0)</x:f>
        <x:v>56</x:v>
      </x:c>
      <x:c r="M79" s="14" t="str">
        <x:f>IF(L79&gt;=PARAMETRES!$B$9,"HAUTE",IF(L79&gt;=PARAMETRES!$B$10,"MOYENNE","BASSE"))</x:f>
        <x:v>MOYENNE</x:v>
      </x:c>
      <x:c r="N79" t="str">
        <x:f>IF(H79&gt;=4,"Similarité historique forte; ","")&amp;IF(G79&gt;=4,"Récurrence élevée; ","")&amp;IF(I79&gt;=4,"Avis ancien/reporté; ","")&amp;IF(F79&gt;=4,"Equipement critique; ","")</x:f>
        <x:v>Avis ancien/reporté; Equipement critique; </x:v>
      </x:c>
      <x:c r="O79" t="str">
        <x:v>À vérifier</x:v>
      </x:c>
      <x:c r="P79" t="str">
        <x:v>Hypothèse test : notes saisies manuellement, pas de prédiction IA</x:v>
      </x:c>
      <x:c r="Q79" t="n">
        <x:f>L79+(1000-79)/100000</x:f>
        <x:v>56.00921</x:v>
      </x:c>
    </x:row>
    <x:row r="80" ht="23" customHeight="1">
      <x:c r="A80" t="str">
        <x:v>AV-1079</x:v>
      </x:c>
      <x:c r="B80" t="str">
        <x:v>E07</x:v>
      </x:c>
      <x:c r="C80" t="str">
        <x:v>Bruit intermittent</x:v>
      </x:c>
      <x:c r="D80" t="str">
        <x:v>2026-01-30</x:v>
      </x:c>
      <x:c r="E80" t="str">
        <x:v>Clôturé</x:v>
      </x:c>
      <x:c r="F80" s="12" t="n">
        <x:v>5</x:v>
      </x:c>
      <x:c r="G80" s="12" t="n">
        <x:v>4</x:v>
      </x:c>
      <x:c r="H80" s="12" t="n">
        <x:v>4</x:v>
      </x:c>
      <x:c r="I80" s="12" t="n">
        <x:v>4</x:v>
      </x:c>
      <x:c r="J80" s="12" t="n">
        <x:v>2</x:v>
      </x:c>
      <x:c r="K80" s="12" t="n">
        <x:v>0</x:v>
      </x:c>
      <x:c r="L80" s="14" t="n">
        <x:f>ROUND((F80*PARAMETRES!$B$2+G80*PARAMETRES!$B$3+H80*PARAMETRES!$B$4+I80*PARAMETRES!$B$5+J80*PARAMETRES!$B$6+K80*PARAMETRES!$B$7)/5,0)</x:f>
        <x:v>73</x:v>
      </x:c>
      <x:c r="M80" s="14" t="str">
        <x:f>IF(L80&gt;=PARAMETRES!$B$9,"HAUTE",IF(L80&gt;=PARAMETRES!$B$10,"MOYENNE","BASSE"))</x:f>
        <x:v>MOYENNE</x:v>
      </x:c>
      <x:c r="N80" t="str">
        <x:f>IF(H80&gt;=4,"Similarité historique forte; ","")&amp;IF(G80&gt;=4,"Récurrence élevée; ","")&amp;IF(I80&gt;=4,"Avis ancien/reporté; ","")&amp;IF(F80&gt;=4,"Equipement critique; ","")</x:f>
        <x:v>Similarité historique forte; Récurrence élevée; Avis ancien/reporté; Equipement critique; </x:v>
      </x:c>
      <x:c r="O80" t="str">
        <x:v>À vérifier</x:v>
      </x:c>
      <x:c r="P80" t="str">
        <x:v>Hypothèse test : notes saisies manuellement, pas de prédiction IA</x:v>
      </x:c>
      <x:c r="Q80" t="n">
        <x:f>L80+(1000-80)/100000</x:f>
        <x:v>73.0092</x:v>
      </x:c>
    </x:row>
    <x:row r="81" ht="23" customHeight="1">
      <x:c r="A81" t="str">
        <x:v>AV-1080</x:v>
      </x:c>
      <x:c r="B81" t="str">
        <x:v>E02</x:v>
      </x:c>
      <x:c r="C81" t="str">
        <x:v>Défaut capteur intermittent</x:v>
      </x:c>
      <x:c r="D81" t="str">
        <x:v>2026-02-04</x:v>
      </x:c>
      <x:c r="E81" t="str">
        <x:v>Ouvert</x:v>
      </x:c>
      <x:c r="F81" s="12" t="n">
        <x:v>5</x:v>
      </x:c>
      <x:c r="G81" s="12" t="n">
        <x:v>4</x:v>
      </x:c>
      <x:c r="H81" s="12" t="n">
        <x:v>4</x:v>
      </x:c>
      <x:c r="I81" s="12" t="n">
        <x:v>3</x:v>
      </x:c>
      <x:c r="J81" s="12" t="n">
        <x:v>3</x:v>
      </x:c>
      <x:c r="K81" s="12" t="n">
        <x:v>3</x:v>
      </x:c>
      <x:c r="L81" s="14" t="n">
        <x:f>ROUND((F81*PARAMETRES!$B$2+G81*PARAMETRES!$B$3+H81*PARAMETRES!$B$4+I81*PARAMETRES!$B$5+J81*PARAMETRES!$B$6+K81*PARAMETRES!$B$7)/5,0)</x:f>
        <x:v>78</x:v>
      </x:c>
      <x:c r="M81" s="14" t="str">
        <x:f>IF(L81&gt;=PARAMETRES!$B$9,"HAUTE",IF(L81&gt;=PARAMETRES!$B$10,"MOYENNE","BASSE"))</x:f>
        <x:v>HAUTE</x:v>
      </x:c>
      <x:c r="N81" t="str">
        <x:f>IF(H81&gt;=4,"Similarité historique forte; ","")&amp;IF(G81&gt;=4,"Récurrence élevée; ","")&amp;IF(I81&gt;=4,"Avis ancien/reporté; ","")&amp;IF(F81&gt;=4,"Equipement critique; ","")</x:f>
        <x:v>Similarité historique forte; Récurrence élevée; Equipement critique; </x:v>
      </x:c>
      <x:c r="O81" t="str">
        <x:v>À vérifier</x:v>
      </x:c>
      <x:c r="P81" t="str">
        <x:v>Hypothèse test : notes saisies manuellement, pas de prédiction IA</x:v>
      </x:c>
      <x:c r="Q81" t="n">
        <x:f>L81+(1000-81)/100000</x:f>
        <x:v>78.00919</x:v>
      </x:c>
    </x:row>
    <x:row r="82" ht="23" customHeight="1">
      <x:c r="A82" t="str">
        <x:v>AV-1081</x:v>
      </x:c>
      <x:c r="B82" t="str">
        <x:v>E09</x:v>
      </x:c>
      <x:c r="C82" t="str">
        <x:v>Fuite d’huile progressive</x:v>
      </x:c>
      <x:c r="D82" t="str">
        <x:v>2026-02-06</x:v>
      </x:c>
      <x:c r="E82" t="str">
        <x:v>Ouvert</x:v>
      </x:c>
      <x:c r="F82" s="12" t="n">
        <x:v>3</x:v>
      </x:c>
      <x:c r="G82" s="12" t="n">
        <x:v>3</x:v>
      </x:c>
      <x:c r="H82" s="12" t="n">
        <x:v>3</x:v>
      </x:c>
      <x:c r="I82" s="12" t="n">
        <x:v>5</x:v>
      </x:c>
      <x:c r="J82" s="12" t="n">
        <x:v>2</x:v>
      </x:c>
      <x:c r="K82" s="12" t="n">
        <x:v>5</x:v>
      </x:c>
      <x:c r="L82" s="14" t="n">
        <x:f>ROUND((F82*PARAMETRES!$B$2+G82*PARAMETRES!$B$3+H82*PARAMETRES!$B$4+I82*PARAMETRES!$B$5+J82*PARAMETRES!$B$6+K82*PARAMETRES!$B$7)/5,0)</x:f>
        <x:v>68</x:v>
      </x:c>
      <x:c r="M82" s="14" t="str">
        <x:f>IF(L82&gt;=PARAMETRES!$B$9,"HAUTE",IF(L82&gt;=PARAMETRES!$B$10,"MOYENNE","BASSE"))</x:f>
        <x:v>MOYENNE</x:v>
      </x:c>
      <x:c r="N82" t="str">
        <x:f>IF(H82&gt;=4,"Similarité historique forte; ","")&amp;IF(G82&gt;=4,"Récurrence élevée; ","")&amp;IF(I82&gt;=4,"Avis ancien/reporté; ","")&amp;IF(F82&gt;=4,"Equipement critique; ","")</x:f>
        <x:v>Avis ancien/reporté; </x:v>
      </x:c>
      <x:c r="O82" t="str">
        <x:v>À vérifier</x:v>
      </x:c>
      <x:c r="P82" t="str">
        <x:v>Hypothèse test : notes saisies manuellement, pas de prédiction IA</x:v>
      </x:c>
      <x:c r="Q82" t="n">
        <x:f>L82+(1000-82)/100000</x:f>
        <x:v>68.00918</x:v>
      </x:c>
    </x:row>
    <x:row r="83" ht="23" customHeight="1">
      <x:c r="A83" t="str">
        <x:v>AV-1082</x:v>
      </x:c>
      <x:c r="B83" t="str">
        <x:v>E04</x:v>
      </x:c>
      <x:c r="C83" t="str">
        <x:v>Température élevée</x:v>
      </x:c>
      <x:c r="D83" t="str">
        <x:v>2026-02-10</x:v>
      </x:c>
      <x:c r="E83" t="str">
        <x:v>Clôturé</x:v>
      </x:c>
      <x:c r="F83" s="12" t="n">
        <x:v>4</x:v>
      </x:c>
      <x:c r="G83" s="12" t="n">
        <x:v>1</x:v>
      </x:c>
      <x:c r="H83" s="12" t="n">
        <x:v>0</x:v>
      </x:c>
      <x:c r="I83" s="12" t="n">
        <x:v>1</x:v>
      </x:c>
      <x:c r="J83" s="12" t="n">
        <x:v>2</x:v>
      </x:c>
      <x:c r="K83" s="12" t="n">
        <x:v>3</x:v>
      </x:c>
      <x:c r="L83" s="14" t="n">
        <x:f>ROUND((F83*PARAMETRES!$B$2+G83*PARAMETRES!$B$3+H83*PARAMETRES!$B$4+I83*PARAMETRES!$B$5+J83*PARAMETRES!$B$6+K83*PARAMETRES!$B$7)/5,0)</x:f>
        <x:v>37</x:v>
      </x:c>
      <x:c r="M83" s="14" t="str">
        <x:f>IF(L83&gt;=PARAMETRES!$B$9,"HAUTE",IF(L83&gt;=PARAMETRES!$B$10,"MOYENNE","BASSE"))</x:f>
        <x:v>BASSE</x:v>
      </x:c>
      <x:c r="N83" t="str">
        <x:f>IF(H83&gt;=4,"Similarité historique forte; ","")&amp;IF(G83&gt;=4,"Récurrence élevée; ","")&amp;IF(I83&gt;=4,"Avis ancien/reporté; ","")&amp;IF(F83&gt;=4,"Equipement critique; ","")</x:f>
        <x:v>Equipement critique; </x:v>
      </x:c>
      <x:c r="O83" t="str">
        <x:v>À vérifier</x:v>
      </x:c>
      <x:c r="P83" t="str">
        <x:v>Hypothèse test : notes saisies manuellement, pas de prédiction IA</x:v>
      </x:c>
      <x:c r="Q83" t="n">
        <x:f>L83+(1000-83)/100000</x:f>
        <x:v>37.00917</x:v>
      </x:c>
    </x:row>
    <x:row r="84" ht="23" customHeight="1">
      <x:c r="A84" t="str">
        <x:v>AV-1083</x:v>
      </x:c>
      <x:c r="B84" t="str">
        <x:v>E11</x:v>
      </x:c>
      <x:c r="C84" t="str">
        <x:v>Débit irrégulier</x:v>
      </x:c>
      <x:c r="D84" t="str">
        <x:v>2026-02-19</x:v>
      </x:c>
      <x:c r="E84" t="str">
        <x:v>Ouvert</x:v>
      </x:c>
      <x:c r="F84" s="12" t="n">
        <x:v>3</x:v>
      </x:c>
      <x:c r="G84" s="12" t="n">
        <x:v>3</x:v>
      </x:c>
      <x:c r="H84" s="12" t="n">
        <x:v>2</x:v>
      </x:c>
      <x:c r="I84" s="12" t="n">
        <x:v>0</x:v>
      </x:c>
      <x:c r="J84" s="12" t="n">
        <x:v>0</x:v>
      </x:c>
      <x:c r="K84" s="12" t="n">
        <x:v>5</x:v>
      </x:c>
      <x:c r="L84" s="14" t="n">
        <x:f>ROUND((F84*PARAMETRES!$B$2+G84*PARAMETRES!$B$3+H84*PARAMETRES!$B$4+I84*PARAMETRES!$B$5+J84*PARAMETRES!$B$6+K84*PARAMETRES!$B$7)/5,0)</x:f>
        <x:v>45</x:v>
      </x:c>
      <x:c r="M84" s="14" t="str">
        <x:f>IF(L84&gt;=PARAMETRES!$B$9,"HAUTE",IF(L84&gt;=PARAMETRES!$B$10,"MOYENNE","BASSE"))</x:f>
        <x:v>BASSE</x:v>
      </x:c>
      <x:c r="N84" t="str">
        <x:f>IF(H84&gt;=4,"Similarité historique forte; ","")&amp;IF(G84&gt;=4,"Récurrence élevée; ","")&amp;IF(I84&gt;=4,"Avis ancien/reporté; ","")&amp;IF(F84&gt;=4,"Equipement critique; ","")</x:f>
      </x:c>
      <x:c r="O84" t="str">
        <x:v>À vérifier</x:v>
      </x:c>
      <x:c r="P84" t="str">
        <x:v>Hypothèse test : notes saisies manuellement, pas de prédiction IA</x:v>
      </x:c>
      <x:c r="Q84" t="n">
        <x:f>L84+(1000-84)/100000</x:f>
        <x:v>45.00916</x:v>
      </x:c>
    </x:row>
    <x:row r="85" ht="23" customHeight="1">
      <x:c r="A85" t="str">
        <x:v>AV-1084</x:v>
      </x:c>
      <x:c r="B85" t="str">
        <x:v>E06</x:v>
      </x:c>
      <x:c r="C85" t="str">
        <x:v>Vibration inhabituelle</x:v>
      </x:c>
      <x:c r="D85" t="str">
        <x:v>2026-02-20</x:v>
      </x:c>
      <x:c r="E85" t="str">
        <x:v>Ouvert</x:v>
      </x:c>
      <x:c r="F85" s="12" t="n">
        <x:v>3</x:v>
      </x:c>
      <x:c r="G85" s="12" t="n">
        <x:v>1</x:v>
      </x:c>
      <x:c r="H85" s="12" t="n">
        <x:v>3</x:v>
      </x:c>
      <x:c r="I85" s="12" t="n">
        <x:v>1</x:v>
      </x:c>
      <x:c r="J85" s="12" t="n">
        <x:v>3</x:v>
      </x:c>
      <x:c r="K85" s="12" t="n">
        <x:v>1</x:v>
      </x:c>
      <x:c r="L85" s="14" t="n">
        <x:f>ROUND((F85*PARAMETRES!$B$2+G85*PARAMETRES!$B$3+H85*PARAMETRES!$B$4+I85*PARAMETRES!$B$5+J85*PARAMETRES!$B$6+K85*PARAMETRES!$B$7)/5,0)</x:f>
        <x:v>42</x:v>
      </x:c>
      <x:c r="M85" s="14" t="str">
        <x:f>IF(L85&gt;=PARAMETRES!$B$9,"HAUTE",IF(L85&gt;=PARAMETRES!$B$10,"MOYENNE","BASSE"))</x:f>
        <x:v>BASSE</x:v>
      </x:c>
      <x:c r="N85" t="str">
        <x:f>IF(H85&gt;=4,"Similarité historique forte; ","")&amp;IF(G85&gt;=4,"Récurrence élevée; ","")&amp;IF(I85&gt;=4,"Avis ancien/reporté; ","")&amp;IF(F85&gt;=4,"Equipement critique; ","")</x:f>
      </x:c>
      <x:c r="O85" t="str">
        <x:v>À vérifier</x:v>
      </x:c>
      <x:c r="P85" t="str">
        <x:v>Hypothèse test : notes saisies manuellement, pas de prédiction IA</x:v>
      </x:c>
      <x:c r="Q85" t="n">
        <x:f>L85+(1000-85)/100000</x:f>
        <x:v>42.00915</x:v>
      </x:c>
    </x:row>
  </x:sheetData>
  <x:conditionalFormatting sqref="L2:L85">
    <x:cfRule type="dataBar" priority="1">
      <x:dataBar>
        <x:cfvo type="min"/>
        <x:cfvo type="max"/>
        <x:color rgb="FF1A8B81"/>
      </x:dataBar>
      <x:extLst>
        <x:ext xmlns:x14="http://schemas.microsoft.com/office/spreadsheetml/2009/9/main" uri="{B025F937-C7B1-47D3-B67F-A62EFF666E3E}">
          <x14:id>{31079F90-1826-E296-004D-CC0E1A0138E7}</x14:id>
        </x:ext>
      </x:extLst>
    </x:cfRule>
  </x:conditionalFormatting>
  <x:dataValidations count="1">
    <x:dataValidation type="whole" operator="between" sqref="F2:K85">
      <x:formula1>0</x:formula1>
      <x:formula2>5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1079F90-1826-E296-004D-CC0E1A0138E7}">
            <x14:dataBar gradient="1">
              <x14:cfvo type="min"/>
              <x14:cfvo type="max"/>
              <x14:fillColor rgb="FF1A8B81"/>
            </x14:dataBar>
          </x14:cfRule>
          <xm:sqref>L2:L85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7" hidden="0" customWidth="1"/>
    <x:col min="5" max="5" width="18" hidden="0" customWidth="1"/>
    <x:col min="6" max="6" width="62" hidden="0" customWidth="1"/>
  </x:cols>
  <x:sheetData>
    <x:row r="1" ht="35" customHeight="1">
      <x:c r="A1" s="3" t="str">
        <x:v>STRAP MAINTENANCE | COCKPIT PROTOTYPE</x:v>
      </x:c>
      <x:c r="B1" s="3" t="str"/>
      <x:c r="C1" s="3" t="str"/>
      <x:c r="D1" s="3" t="str"/>
      <x:c r="E1" s="3" t="str"/>
      <x:c r="F1" s="3" t="str"/>
    </x:row>
    <x:row r="3">
      <x:c r="A3" s="17" t="str">
        <x:v>Indicateur</x:v>
      </x:c>
      <x:c r="B3" s="17" t="str">
        <x:v>Valeur</x:v>
      </x:c>
    </x:row>
    <x:row r="4">
      <x:c r="A4" t="str">
        <x:v>Avis jaunes étudiés</x:v>
      </x:c>
      <x:c r="B4" t="n">
        <x:f>COUNTA(MATRICE_SCORE!A2:A85)</x:f>
        <x:v>84</x:v>
      </x:c>
    </x:row>
    <x:row r="5">
      <x:c r="A5" t="str">
        <x:v>Scores priorité haute</x:v>
      </x:c>
      <x:c r="B5" t="n">
        <x:f>COUNTIF(MATRICE_SCORE!M2:M85,"HAUTE")</x:f>
        <x:v>9</x:v>
      </x:c>
    </x:row>
    <x:row r="6">
      <x:c r="A6" t="str">
        <x:v>Scores priorité moyenne</x:v>
      </x:c>
      <x:c r="B6" t="n">
        <x:f>COUNTIF(MATRICE_SCORE!M2:M85,"MOYENNE")</x:f>
        <x:v>54</x:v>
      </x:c>
    </x:row>
    <x:row r="7">
      <x:c r="A7" t="str">
        <x:v>Scores priorité basse</x:v>
      </x:c>
      <x:c r="B7" t="n">
        <x:f>COUNTIF(MATRICE_SCORE!M2:M85,"BASSE")</x:f>
        <x:v>21</x:v>
      </x:c>
    </x:row>
    <x:row r="9" ht="28" customHeight="1">
      <x:c r="A9" s="17" t="str">
        <x:v>Priorité</x:v>
      </x:c>
      <x:c r="B9" s="17" t="str">
        <x:v>Avis</x:v>
      </x:c>
      <x:c r="C9" s="17" t="str">
        <x:v>Equipement</x:v>
      </x:c>
      <x:c r="D9" s="17" t="str">
        <x:v>Symptôme</x:v>
      </x:c>
      <x:c r="E9" s="17" t="str">
        <x:v>Score /100</x:v>
      </x:c>
      <x:c r="F9" s="17" t="str">
        <x:v>Justification</x:v>
      </x:c>
    </x:row>
    <x:row r="10">
      <x:c r="A10" t="n">
        <x:f>ROW()-9</x:f>
        <x:v>1</x:v>
      </x:c>
      <x:c r="B10" t="str">
        <x:f>INDEX(MATRICE_SCORE!$A$2:$A$85,MATCH(LARGE(MATRICE_SCORE!$Q$2:$Q$85,$A10),MATRICE_SCORE!$Q$2:$Q$85,0))</x:f>
        <x:v>AV-1030</x:v>
      </x:c>
      <x:c r="C10" t="str">
        <x:f>INDEX(MATRICE_SCORE!$B$2:$B$85,MATCH(LARGE(MATRICE_SCORE!$Q$2:$Q$85,$A10),MATRICE_SCORE!$Q$2:$Q$85,0))</x:f>
        <x:v>E12</x:v>
      </x:c>
      <x:c r="D10" t="str">
        <x:f>INDEX(MATRICE_SCORE!$C$2:$C$85,MATCH(LARGE(MATRICE_SCORE!$Q$2:$Q$85,$A10),MATRICE_SCORE!$Q$2:$Q$85,0))</x:f>
        <x:v>Jeu mécanique observé</x:v>
      </x:c>
      <x:c r="E10" t="n">
        <x:f>ROUND(LARGE(MATRICE_SCORE!$Q$2:$Q$85,A10),0)</x:f>
        <x:v>86</x:v>
      </x:c>
      <x:c r="F10" t="str">
        <x:f>INDEX(MATRICE_SCORE!$N$2:$N$85,MATCH(LARGE(MATRICE_SCORE!$Q$2:$Q$85,$A10),MATRICE_SCORE!$Q$2:$Q$85,0))</x:f>
        <x:v>Similarité historique forte; Récurrence élevée; Equipement critique; </x:v>
      </x:c>
    </x:row>
    <x:row r="11">
      <x:c r="A11" t="n">
        <x:f>ROW()-9</x:f>
        <x:v>2</x:v>
      </x:c>
      <x:c r="B11" t="str">
        <x:f>INDEX(MATRICE_SCORE!$A$2:$A$85,MATCH(LARGE(MATRICE_SCORE!$Q$2:$Q$85,$A11),MATRICE_SCORE!$Q$2:$Q$85,0))</x:f>
        <x:v>AV-1002</x:v>
      </x:c>
      <x:c r="C11" t="str">
        <x:f>INDEX(MATRICE_SCORE!$B$2:$B$85,MATCH(LARGE(MATRICE_SCORE!$Q$2:$Q$85,$A11),MATRICE_SCORE!$Q$2:$Q$85,0))</x:f>
        <x:v>E02</x:v>
      </x:c>
      <x:c r="D11" t="str">
        <x:f>INDEX(MATRICE_SCORE!$C$2:$C$85,MATCH(LARGE(MATRICE_SCORE!$Q$2:$Q$85,$A11),MATRICE_SCORE!$Q$2:$Q$85,0))</x:f>
        <x:v>Vibration inhabituelle</x:v>
      </x:c>
      <x:c r="E11" t="n">
        <x:f>ROUND(LARGE(MATRICE_SCORE!$Q$2:$Q$85,A11),0)</x:f>
        <x:v>82</x:v>
      </x:c>
      <x:c r="F11" t="str">
        <x:f>INDEX(MATRICE_SCORE!$N$2:$N$85,MATCH(LARGE(MATRICE_SCORE!$Q$2:$Q$85,$A11),MATRICE_SCORE!$Q$2:$Q$85,0))</x:f>
        <x:v>Similarité historique forte; Equipement critique; </x:v>
      </x:c>
    </x:row>
    <x:row r="12">
      <x:c r="A12" t="n">
        <x:f>ROW()-9</x:f>
        <x:v>3</x:v>
      </x:c>
      <x:c r="B12" t="str">
        <x:f>INDEX(MATRICE_SCORE!$A$2:$A$85,MATCH(LARGE(MATRICE_SCORE!$Q$2:$Q$85,$A12),MATRICE_SCORE!$Q$2:$Q$85,0))</x:f>
        <x:v>AV-1014</x:v>
      </x:c>
      <x:c r="C12" t="str">
        <x:f>INDEX(MATRICE_SCORE!$B$2:$B$85,MATCH(LARGE(MATRICE_SCORE!$Q$2:$Q$85,$A12),MATRICE_SCORE!$Q$2:$Q$85,0))</x:f>
        <x:v>E02</x:v>
      </x:c>
      <x:c r="D12" t="str">
        <x:f>INDEX(MATRICE_SCORE!$C$2:$C$85,MATCH(LARGE(MATRICE_SCORE!$Q$2:$Q$85,$A12),MATRICE_SCORE!$Q$2:$Q$85,0))</x:f>
        <x:v>Défaut capteur intermittent</x:v>
      </x:c>
      <x:c r="E12" t="n">
        <x:f>ROUND(LARGE(MATRICE_SCORE!$Q$2:$Q$85,A12),0)</x:f>
        <x:v>78</x:v>
      </x:c>
      <x:c r="F12" t="str">
        <x:f>INDEX(MATRICE_SCORE!$N$2:$N$85,MATCH(LARGE(MATRICE_SCORE!$Q$2:$Q$85,$A12),MATRICE_SCORE!$Q$2:$Q$85,0))</x:f>
        <x:v>Similarité historique forte; Equipement critique; </x:v>
      </x:c>
    </x:row>
    <x:row r="13">
      <x:c r="A13" t="n">
        <x:f>ROW()-9</x:f>
        <x:v>4</x:v>
      </x:c>
      <x:c r="B13" t="str">
        <x:f>INDEX(MATRICE_SCORE!$A$2:$A$85,MATCH(LARGE(MATRICE_SCORE!$Q$2:$Q$85,$A13),MATRICE_SCORE!$Q$2:$Q$85,0))</x:f>
        <x:v>AV-1054</x:v>
      </x:c>
      <x:c r="C13" t="str">
        <x:f>INDEX(MATRICE_SCORE!$B$2:$B$85,MATCH(LARGE(MATRICE_SCORE!$Q$2:$Q$85,$A13),MATRICE_SCORE!$Q$2:$Q$85,0))</x:f>
        <x:v>E12</x:v>
      </x:c>
      <x:c r="D13" t="str">
        <x:f>INDEX(MATRICE_SCORE!$C$2:$C$85,MATCH(LARGE(MATRICE_SCORE!$Q$2:$Q$85,$A13),MATRICE_SCORE!$Q$2:$Q$85,0))</x:f>
        <x:v>Jeu mécanique observé</x:v>
      </x:c>
      <x:c r="E13" t="n">
        <x:f>ROUND(LARGE(MATRICE_SCORE!$Q$2:$Q$85,A13),0)</x:f>
        <x:v>78</x:v>
      </x:c>
      <x:c r="F13" t="str">
        <x:f>INDEX(MATRICE_SCORE!$N$2:$N$85,MATCH(LARGE(MATRICE_SCORE!$Q$2:$Q$85,$A13),MATRICE_SCORE!$Q$2:$Q$85,0))</x:f>
        <x:v>Similarité historique forte; Récurrence élevée; Equipement critique; </x:v>
      </x:c>
    </x:row>
    <x:row r="14">
      <x:c r="A14" t="n">
        <x:f>ROW()-9</x:f>
        <x:v>5</x:v>
      </x:c>
      <x:c r="B14" t="str">
        <x:f>INDEX(MATRICE_SCORE!$A$2:$A$85,MATCH(LARGE(MATRICE_SCORE!$Q$2:$Q$85,$A14),MATRICE_SCORE!$Q$2:$Q$85,0))</x:f>
        <x:v>AV-1080</x:v>
      </x:c>
      <x:c r="C14" t="str">
        <x:f>INDEX(MATRICE_SCORE!$B$2:$B$85,MATCH(LARGE(MATRICE_SCORE!$Q$2:$Q$85,$A14),MATRICE_SCORE!$Q$2:$Q$85,0))</x:f>
        <x:v>E02</x:v>
      </x:c>
      <x:c r="D14" t="str">
        <x:f>INDEX(MATRICE_SCORE!$C$2:$C$85,MATCH(LARGE(MATRICE_SCORE!$Q$2:$Q$85,$A14),MATRICE_SCORE!$Q$2:$Q$85,0))</x:f>
        <x:v>Défaut capteur intermittent</x:v>
      </x:c>
      <x:c r="E14" t="n">
        <x:f>ROUND(LARGE(MATRICE_SCORE!$Q$2:$Q$85,A14),0)</x:f>
        <x:v>78</x:v>
      </x:c>
      <x:c r="F14" t="str">
        <x:f>INDEX(MATRICE_SCORE!$N$2:$N$85,MATCH(LARGE(MATRICE_SCORE!$Q$2:$Q$85,$A14),MATRICE_SCORE!$Q$2:$Q$85,0))</x:f>
        <x:v>Similarité historique forte; Récurrence élevée; Equipement critique; </x:v>
      </x:c>
    </x:row>
    <x:row r="15">
      <x:c r="A15" t="n">
        <x:f>ROW()-9</x:f>
        <x:v>6</x:v>
      </x:c>
      <x:c r="B15" t="str">
        <x:f>INDEX(MATRICE_SCORE!$A$2:$A$85,MATCH(LARGE(MATRICE_SCORE!$Q$2:$Q$85,$A15),MATRICE_SCORE!$Q$2:$Q$85,0))</x:f>
        <x:v>AV-1005</x:v>
      </x:c>
      <x:c r="C15" t="str">
        <x:f>INDEX(MATRICE_SCORE!$B$2:$B$85,MATCH(LARGE(MATRICE_SCORE!$Q$2:$Q$85,$A15),MATRICE_SCORE!$Q$2:$Q$85,0))</x:f>
        <x:v>E05</x:v>
      </x:c>
      <x:c r="D15" t="str">
        <x:f>INDEX(MATRICE_SCORE!$C$2:$C$85,MATCH(LARGE(MATRICE_SCORE!$Q$2:$Q$85,$A15),MATRICE_SCORE!$Q$2:$Q$85,0))</x:f>
        <x:v>Pression instable</x:v>
      </x:c>
      <x:c r="E15" t="n">
        <x:f>ROUND(LARGE(MATRICE_SCORE!$Q$2:$Q$85,A15),0)</x:f>
        <x:v>77</x:v>
      </x:c>
      <x:c r="F15" t="str">
        <x:f>INDEX(MATRICE_SCORE!$N$2:$N$85,MATCH(LARGE(MATRICE_SCORE!$Q$2:$Q$85,$A15),MATRICE_SCORE!$Q$2:$Q$85,0))</x:f>
        <x:v>Similarité historique forte; Récurrence élevée; Equipement critique; </x:v>
      </x:c>
    </x:row>
    <x:row r="16">
      <x:c r="A16" t="n">
        <x:f>ROW()-9</x:f>
        <x:v>7</x:v>
      </x:c>
      <x:c r="B16" t="str">
        <x:f>INDEX(MATRICE_SCORE!$A$2:$A$85,MATCH(LARGE(MATRICE_SCORE!$Q$2:$Q$85,$A16),MATRICE_SCORE!$Q$2:$Q$85,0))</x:f>
        <x:v>AV-1015</x:v>
      </x:c>
      <x:c r="C16" t="str">
        <x:f>INDEX(MATRICE_SCORE!$B$2:$B$85,MATCH(LARGE(MATRICE_SCORE!$Q$2:$Q$85,$A16),MATRICE_SCORE!$Q$2:$Q$85,0))</x:f>
        <x:v>E03</x:v>
      </x:c>
      <x:c r="D16" t="str">
        <x:f>INDEX(MATRICE_SCORE!$C$2:$C$85,MATCH(LARGE(MATRICE_SCORE!$Q$2:$Q$85,$A16),MATRICE_SCORE!$Q$2:$Q$85,0))</x:f>
        <x:v>Débit irrégulier</x:v>
      </x:c>
      <x:c r="E16" t="n">
        <x:f>ROUND(LARGE(MATRICE_SCORE!$Q$2:$Q$85,A16),0)</x:f>
        <x:v>77</x:v>
      </x:c>
      <x:c r="F16" t="str">
        <x:f>INDEX(MATRICE_SCORE!$N$2:$N$85,MATCH(LARGE(MATRICE_SCORE!$Q$2:$Q$85,$A16),MATRICE_SCORE!$Q$2:$Q$85,0))</x:f>
        <x:v>Similarité historique forte; Equipement critique; </x:v>
      </x:c>
    </x:row>
    <x:row r="17">
      <x:c r="A17" t="n">
        <x:f>ROW()-9</x:f>
        <x:v>8</x:v>
      </x:c>
      <x:c r="B17" t="str">
        <x:f>INDEX(MATRICE_SCORE!$A$2:$A$85,MATCH(LARGE(MATRICE_SCORE!$Q$2:$Q$85,$A17),MATRICE_SCORE!$Q$2:$Q$85,0))</x:f>
        <x:v>AV-1059</x:v>
      </x:c>
      <x:c r="C17" t="str">
        <x:f>INDEX(MATRICE_SCORE!$B$2:$B$85,MATCH(LARGE(MATRICE_SCORE!$Q$2:$Q$85,$A17),MATRICE_SCORE!$Q$2:$Q$85,0))</x:f>
        <x:v>E11</x:v>
      </x:c>
      <x:c r="D17" t="str">
        <x:f>INDEX(MATRICE_SCORE!$C$2:$C$85,MATCH(LARGE(MATRICE_SCORE!$Q$2:$Q$85,$A17),MATRICE_SCORE!$Q$2:$Q$85,0))</x:f>
        <x:v>Débit irrégulier</x:v>
      </x:c>
      <x:c r="E17" t="n">
        <x:f>ROUND(LARGE(MATRICE_SCORE!$Q$2:$Q$85,A17),0)</x:f>
        <x:v>76</x:v>
      </x:c>
      <x:c r="F17" t="str">
        <x:f>INDEX(MATRICE_SCORE!$N$2:$N$85,MATCH(LARGE(MATRICE_SCORE!$Q$2:$Q$85,$A17),MATRICE_SCORE!$Q$2:$Q$85,0))</x:f>
        <x:v>Similarité historique forte; Récurrence élevée; Avis ancien/reporté; </x:v>
      </x:c>
    </x:row>
    <x:row r="18">
      <x:c r="A18" t="n">
        <x:f>ROW()-9</x:f>
        <x:v>9</x:v>
      </x:c>
      <x:c r="B18" t="str">
        <x:f>INDEX(MATRICE_SCORE!$A$2:$A$85,MATCH(LARGE(MATRICE_SCORE!$Q$2:$Q$85,$A18),MATRICE_SCORE!$Q$2:$Q$85,0))</x:f>
        <x:v>AV-1065</x:v>
      </x:c>
      <x:c r="C18" t="str">
        <x:f>INDEX(MATRICE_SCORE!$B$2:$B$85,MATCH(LARGE(MATRICE_SCORE!$Q$2:$Q$85,$A18),MATRICE_SCORE!$Q$2:$Q$85,0))</x:f>
        <x:v>E05</x:v>
      </x:c>
      <x:c r="D18" t="str">
        <x:f>INDEX(MATRICE_SCORE!$C$2:$C$85,MATCH(LARGE(MATRICE_SCORE!$Q$2:$Q$85,$A18),MATRICE_SCORE!$Q$2:$Q$85,0))</x:f>
        <x:v>Fuite d’huile progressive</x:v>
      </x:c>
      <x:c r="E18" t="n">
        <x:f>ROUND(LARGE(MATRICE_SCORE!$Q$2:$Q$85,A18),0)</x:f>
        <x:v>75</x:v>
      </x:c>
      <x:c r="F18" t="str">
        <x:f>INDEX(MATRICE_SCORE!$N$2:$N$85,MATCH(LARGE(MATRICE_SCORE!$Q$2:$Q$85,$A18),MATRICE_SCORE!$Q$2:$Q$85,0))</x:f>
        <x:v>Similarité historique forte; Récurrence élevée; Avis ancien/reporté; Equipement critique; </x:v>
      </x:c>
    </x:row>
    <x:row r="19">
      <x:c r="A19" t="n">
        <x:f>ROW()-9</x:f>
        <x:v>10</x:v>
      </x:c>
      <x:c r="B19" t="str">
        <x:f>INDEX(MATRICE_SCORE!$A$2:$A$85,MATCH(LARGE(MATRICE_SCORE!$Q$2:$Q$85,$A19),MATRICE_SCORE!$Q$2:$Q$85,0))</x:f>
        <x:v>AV-1055</x:v>
      </x:c>
      <x:c r="C19" t="str">
        <x:f>INDEX(MATRICE_SCORE!$B$2:$B$85,MATCH(LARGE(MATRICE_SCORE!$Q$2:$Q$85,$A19),MATRICE_SCORE!$Q$2:$Q$85,0))</x:f>
        <x:v>E07</x:v>
      </x:c>
      <x:c r="D19" t="str">
        <x:f>INDEX(MATRICE_SCORE!$C$2:$C$85,MATCH(LARGE(MATRICE_SCORE!$Q$2:$Q$85,$A19),MATRICE_SCORE!$Q$2:$Q$85,0))</x:f>
        <x:v>Bruit intermittent</x:v>
      </x:c>
      <x:c r="E19" t="n">
        <x:f>ROUND(LARGE(MATRICE_SCORE!$Q$2:$Q$85,A19),0)</x:f>
        <x:v>74</x:v>
      </x:c>
      <x:c r="F19" t="str">
        <x:f>INDEX(MATRICE_SCORE!$N$2:$N$85,MATCH(LARGE(MATRICE_SCORE!$Q$2:$Q$85,$A19),MATRICE_SCORE!$Q$2:$Q$85,0))</x:f>
        <x:v>Récurrence élevée; Avis ancien/reporté; Equipement critique; </x:v>
      </x:c>
    </x:row>
    <x:row r="20">
      <x:c r="A20" t="n">
        <x:f>ROW()-9</x:f>
        <x:v>11</x:v>
      </x:c>
      <x:c r="B20" t="str">
        <x:f>INDEX(MATRICE_SCORE!$A$2:$A$85,MATCH(LARGE(MATRICE_SCORE!$Q$2:$Q$85,$A20),MATRICE_SCORE!$Q$2:$Q$85,0))</x:f>
        <x:v>AV-1022</x:v>
      </x:c>
      <x:c r="C20" t="str">
        <x:f>INDEX(MATRICE_SCORE!$B$2:$B$85,MATCH(LARGE(MATRICE_SCORE!$Q$2:$Q$85,$A20),MATRICE_SCORE!$Q$2:$Q$85,0))</x:f>
        <x:v>E10</x:v>
      </x:c>
      <x:c r="D20" t="str">
        <x:f>INDEX(MATRICE_SCORE!$C$2:$C$85,MATCH(LARGE(MATRICE_SCORE!$Q$2:$Q$85,$A20),MATRICE_SCORE!$Q$2:$Q$85,0))</x:f>
        <x:v>Défaut capteur intermittent</x:v>
      </x:c>
      <x:c r="E20" t="n">
        <x:f>ROUND(LARGE(MATRICE_SCORE!$Q$2:$Q$85,A20),0)</x:f>
        <x:v>73</x:v>
      </x:c>
      <x:c r="F20" t="str">
        <x:f>INDEX(MATRICE_SCORE!$N$2:$N$85,MATCH(LARGE(MATRICE_SCORE!$Q$2:$Q$85,$A20),MATRICE_SCORE!$Q$2:$Q$85,0))</x:f>
        <x:v>Similarité historique forte; Récurrence élevée; Equipement critique; </x:v>
      </x:c>
    </x:row>
    <x:row r="21">
      <x:c r="A21" t="n">
        <x:f>ROW()-9</x:f>
        <x:v>12</x:v>
      </x:c>
      <x:c r="B21" t="str">
        <x:f>INDEX(MATRICE_SCORE!$A$2:$A$85,MATCH(LARGE(MATRICE_SCORE!$Q$2:$Q$85,$A21),MATRICE_SCORE!$Q$2:$Q$85,0))</x:f>
        <x:v>AV-1024</x:v>
      </x:c>
      <x:c r="C21" t="str">
        <x:f>INDEX(MATRICE_SCORE!$B$2:$B$85,MATCH(LARGE(MATRICE_SCORE!$Q$2:$Q$85,$A21),MATRICE_SCORE!$Q$2:$Q$85,0))</x:f>
        <x:v>E12</x:v>
      </x:c>
      <x:c r="D21" t="str">
        <x:f>INDEX(MATRICE_SCORE!$C$2:$C$85,MATCH(LARGE(MATRICE_SCORE!$Q$2:$Q$85,$A21),MATRICE_SCORE!$Q$2:$Q$85,0))</x:f>
        <x:v>Jeu mécanique observé</x:v>
      </x:c>
      <x:c r="E21" t="n">
        <x:f>ROUND(LARGE(MATRICE_SCORE!$Q$2:$Q$85,A21),0)</x:f>
        <x:v>73</x:v>
      </x:c>
      <x:c r="F21" t="str">
        <x:f>INDEX(MATRICE_SCORE!$N$2:$N$85,MATCH(LARGE(MATRICE_SCORE!$Q$2:$Q$85,$A21),MATRICE_SCORE!$Q$2:$Q$85,0))</x:f>
        <x:v>Récurrence élevée; Avis ancien/reporté; Equipement critique; </x:v>
      </x:c>
    </x:row>
    <x:row r="22">
      <x:c r="A22" t="n">
        <x:f>ROW()-9</x:f>
        <x:v>13</x:v>
      </x:c>
      <x:c r="B22" t="str">
        <x:f>INDEX(MATRICE_SCORE!$A$2:$A$85,MATCH(LARGE(MATRICE_SCORE!$Q$2:$Q$85,$A22),MATRICE_SCORE!$Q$2:$Q$85,0))</x:f>
        <x:v>AV-1034</x:v>
      </x:c>
      <x:c r="C22" t="str">
        <x:f>INDEX(MATRICE_SCORE!$B$2:$B$85,MATCH(LARGE(MATRICE_SCORE!$Q$2:$Q$85,$A22),MATRICE_SCORE!$Q$2:$Q$85,0))</x:f>
        <x:v>E04</x:v>
      </x:c>
      <x:c r="D22" t="str">
        <x:f>INDEX(MATRICE_SCORE!$C$2:$C$85,MATCH(LARGE(MATRICE_SCORE!$Q$2:$Q$85,$A22),MATRICE_SCORE!$Q$2:$Q$85,0))</x:f>
        <x:v>Température élevée</x:v>
      </x:c>
      <x:c r="E22" t="n">
        <x:f>ROUND(LARGE(MATRICE_SCORE!$Q$2:$Q$85,A22),0)</x:f>
        <x:v>73</x:v>
      </x:c>
      <x:c r="F22" t="str">
        <x:f>INDEX(MATRICE_SCORE!$N$2:$N$85,MATCH(LARGE(MATRICE_SCORE!$Q$2:$Q$85,$A22),MATRICE_SCORE!$Q$2:$Q$85,0))</x:f>
        <x:v>Similarité historique forte; Récurrence élevée; Avis ancien/reporté; Equipement critique; </x:v>
      </x:c>
    </x:row>
    <x:row r="23">
      <x:c r="A23" t="n">
        <x:f>ROW()-9</x:f>
        <x:v>14</x:v>
      </x:c>
      <x:c r="B23" t="str">
        <x:f>INDEX(MATRICE_SCORE!$A$2:$A$85,MATCH(LARGE(MATRICE_SCORE!$Q$2:$Q$85,$A23),MATRICE_SCORE!$Q$2:$Q$85,0))</x:f>
        <x:v>AV-1079</x:v>
      </x:c>
      <x:c r="C23" t="str">
        <x:f>INDEX(MATRICE_SCORE!$B$2:$B$85,MATCH(LARGE(MATRICE_SCORE!$Q$2:$Q$85,$A23),MATRICE_SCORE!$Q$2:$Q$85,0))</x:f>
        <x:v>E07</x:v>
      </x:c>
      <x:c r="D23" t="str">
        <x:f>INDEX(MATRICE_SCORE!$C$2:$C$85,MATCH(LARGE(MATRICE_SCORE!$Q$2:$Q$85,$A23),MATRICE_SCORE!$Q$2:$Q$85,0))</x:f>
        <x:v>Bruit intermittent</x:v>
      </x:c>
      <x:c r="E23" t="n">
        <x:f>ROUND(LARGE(MATRICE_SCORE!$Q$2:$Q$85,A23),0)</x:f>
        <x:v>73</x:v>
      </x:c>
      <x:c r="F23" t="str">
        <x:f>INDEX(MATRICE_SCORE!$N$2:$N$85,MATCH(LARGE(MATRICE_SCORE!$Q$2:$Q$85,$A23),MATRICE_SCORE!$Q$2:$Q$85,0))</x:f>
        <x:v>Similarité historique forte; Récurrence élevée; Avis ancien/reporté; Equipement critique; </x:v>
      </x:c>
    </x:row>
    <x:row r="24">
      <x:c r="A24" t="n">
        <x:f>ROW()-9</x:f>
        <x:v>15</x:v>
      </x:c>
      <x:c r="B24" t="str">
        <x:f>INDEX(MATRICE_SCORE!$A$2:$A$85,MATCH(LARGE(MATRICE_SCORE!$Q$2:$Q$85,$A24),MATRICE_SCORE!$Q$2:$Q$85,0))</x:f>
        <x:v>AV-1013</x:v>
      </x:c>
      <x:c r="C24" t="str">
        <x:f>INDEX(MATRICE_SCORE!$B$2:$B$85,MATCH(LARGE(MATRICE_SCORE!$Q$2:$Q$85,$A24),MATRICE_SCORE!$Q$2:$Q$85,0))</x:f>
        <x:v>E01</x:v>
      </x:c>
      <x:c r="D24" t="str">
        <x:f>INDEX(MATRICE_SCORE!$C$2:$C$85,MATCH(LARGE(MATRICE_SCORE!$Q$2:$Q$85,$A24),MATRICE_SCORE!$Q$2:$Q$85,0))</x:f>
        <x:v>Pression instable</x:v>
      </x:c>
      <x:c r="E24" t="n">
        <x:f>ROUND(LARGE(MATRICE_SCORE!$Q$2:$Q$85,A24),0)</x:f>
        <x:v>71</x:v>
      </x:c>
      <x:c r="F24" t="str">
        <x:f>INDEX(MATRICE_SCORE!$N$2:$N$85,MATCH(LARGE(MATRICE_SCORE!$Q$2:$Q$85,$A24),MATRICE_SCORE!$Q$2:$Q$85,0))</x:f>
        <x:v>Récurrence élevée; Equipement critique; </x:v>
      </x:c>
    </x:row>
    <x:row r="27">
      <x:c r="A27" s="10" t="str">
        <x:v>IMPORTANT : scores synthétiques. Le cockpit ne prouve pas la prédiction de panne.</x:v>
      </x:c>
      <x:c r="B27" s="10" t="str"/>
      <x:c r="C27" s="10" t="str"/>
      <x:c r="D27" s="10" t="str"/>
      <x:c r="E27" s="10" t="str"/>
      <x:c r="F27" s="10" t="str"/>
    </x:row>
  </x:sheetData>
  <x:mergeCells>
    <x:mergeCell ref="A1:F1"/>
    <x:mergeCell ref="A27:F27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7" hidden="0" customWidth="1"/>
    <x:col min="3" max="3" width="54" hidden="0" customWidth="1"/>
    <x:col min="4" max="4" width="35" hidden="0" customWidth="1"/>
    <x:col min="5" max="5" width="47" hidden="0" customWidth="1"/>
  </x:cols>
  <x:sheetData>
    <x:row r="1" ht="34" customHeight="1">
      <x:c r="A1" s="5" t="str">
        <x:v>Test</x:v>
      </x:c>
      <x:c r="B1" s="5" t="str">
        <x:v>Scénario</x:v>
      </x:c>
      <x:c r="C1" s="5" t="str">
        <x:v>Résultat attendu</x:v>
      </x:c>
      <x:c r="D1" s="5" t="str">
        <x:v>Données / feuilles</x:v>
      </x:c>
      <x:c r="E1" s="5" t="str">
        <x:v>Point de contrôle</x:v>
      </x:c>
    </x:row>
    <x:row r="2" ht="23" customHeight="1">
      <x:c r="A2" t="str">
        <x:v>T01</x:v>
      </x:c>
      <x:c r="B2" t="str">
        <x:v>Jaune avant rouge même équipement</x:v>
      </x:c>
      <x:c r="C2" t="str">
        <x:v>Lien candidat identifié, validation expert nécessaire</x:v>
      </x:c>
      <x:c r="D2" t="str">
        <x:v>AV-1001 / OT-5001</x:v>
      </x:c>
      <x:c r="E2" t="str">
        <x:v>Date Avis &lt; date OT</x:v>
      </x:c>
    </x:row>
    <x:row r="3" ht="23" customHeight="1">
      <x:c r="A3" t="str">
        <x:v>T02</x:v>
      </x:c>
      <x:c r="B3" t="str">
        <x:v>Jaune ancien sans panne ultérieure</x:v>
      </x:c>
      <x:c r="C3" t="str">
        <x:v>Ne pas créer de panne fictive / faux positif</x:v>
      </x:c>
      <x:c r="D3" t="str">
        <x:v>AV-1025 à AV-1084</x:v>
      </x:c>
      <x:c r="E3" t="str">
        <x:v>Absence de rouge ≠ absence de risque</x:v>
      </x:c>
    </x:row>
    <x:row r="4" ht="23" customHeight="1">
      <x:c r="A4" t="str">
        <x:v>T03</x:v>
      </x:c>
      <x:c r="B4" t="str">
        <x:v>Panne rouge sans précurseur connu</x:v>
      </x:c>
      <x:c r="C4" t="str">
        <x:v>Faux négatif / non détectable</x:v>
      </x:c>
      <x:c r="D4" t="str">
        <x:v>OT-5037 à OT-5048</x:v>
      </x:c>
      <x:c r="E4" t="str">
        <x:v>Mesurer couverture</x:v>
      </x:c>
    </x:row>
    <x:row r="5" ht="23" customHeight="1">
      <x:c r="A5" t="str">
        <x:v>T04</x:v>
      </x:c>
      <x:c r="B5" t="str">
        <x:v>Préventif vert</x:v>
      </x:c>
      <x:c r="C5" t="str">
        <x:v>Ne pas classer comme jaune</x:v>
      </x:c>
      <x:c r="D5" t="str">
        <x:v>AV-1085 à AV-1102</x:v>
      </x:c>
      <x:c r="E5" t="str">
        <x:v>Filtre flux</x:v>
      </x:c>
    </x:row>
    <x:row r="6" ht="23" customHeight="1">
      <x:c r="A6" t="str">
        <x:v>T05</x:v>
      </x:c>
      <x:c r="B6" t="str">
        <x:v>Rapprochement erroné</x:v>
      </x:c>
      <x:c r="C6" t="str">
        <x:v>Rejet par expert</x:v>
      </x:c>
      <x:c r="D6" t="str">
        <x:v>L-025 à L-032</x:v>
      </x:c>
      <x:c r="E6" t="str">
        <x:v>Même date / même équipement ≠ cause</x:v>
      </x:c>
    </x:row>
    <x:row r="7" ht="23" customHeight="1">
      <x:c r="A7" t="str">
        <x:v>T06</x:v>
      </x:c>
      <x:c r="B7" t="str">
        <x:v>Ajustement poids</x:v>
      </x:c>
      <x:c r="C7" t="str">
        <x:v>Recalcul immédiat score</x:v>
      </x:c>
      <x:c r="D7" t="str">
        <x:v>PARAMETRES B2:B7</x:v>
      </x:c>
      <x:c r="E7" t="str">
        <x:v>Somme = 100</x:v>
      </x:c>
    </x:row>
    <x:row r="8" ht="23" customHeight="1">
      <x:c r="A8" t="str">
        <x:v>T07</x:v>
      </x:c>
      <x:c r="B8" t="str">
        <x:v>Alerte prioritaire</x:v>
      </x:c>
      <x:c r="C8" t="str">
        <x:v>Cockpit classe les Avis par score</x:v>
      </x:c>
      <x:c r="D8" t="str">
        <x:v>MATRICE_SCORE / COCKPIT</x:v>
      </x:c>
      <x:c r="E8" t="str">
        <x:v>Justification visible</x:v>
      </x:c>
    </x:row>
    <x:row r="9" ht="23" customHeight="1">
      <x:c r="A9" t="str">
        <x:v>T08</x:v>
      </x:c>
      <x:c r="B9" t="str">
        <x:v>Fuite temporelle</x:v>
      </x:c>
      <x:c r="C9" t="str">
        <x:v>Ne pas utiliser une panne future pour calculer une note passée</x:v>
      </x:c>
      <x:c r="D9" t="str">
        <x:v>Avis jaune avant OT rouge</x:v>
      </x:c>
      <x:c r="E9" t="str">
        <x:v>Backtest à date T</x:v>
      </x:c>
    </x:row>
    <x:row r="10" ht="23" customHeight="1">
      <x:c r="A10" t="str">
        <x:v>T09</x:v>
      </x:c>
      <x:c r="B10" t="str">
        <x:v>Modification note 0-5</x:v>
      </x:c>
      <x:c r="C10" t="str">
        <x:v>Score et classe mis à jour</x:v>
      </x:c>
      <x:c r="D10" t="str">
        <x:v>MATRICE_SCORE F:K</x:v>
      </x:c>
      <x:c r="E10" t="str">
        <x:v>Contrôler bornes 0–5</x:v>
      </x:c>
    </x:row>
    <x:row r="11" ht="23" customHeight="1">
      <x:c r="A11" t="str">
        <x:v>T10</x:v>
      </x:c>
      <x:c r="B11" t="str">
        <x:v>Intervention opportunité</x:v>
      </x:c>
      <x:c r="C11" t="str">
        <x:v>Préparation / validation humaine, sans OT automatique</x:v>
      </x:c>
      <x:c r="D11" t="str">
        <x:v>Cockpit</x:v>
      </x:c>
      <x:c r="E11" t="str">
        <x:v>Décision terrain obligatoire</x:v>
      </x:c>
    </x:row>
  </x:sheetData>
  <x:pageMargins left="0.7" right="0.7" top="0.75" bottom="0.75" header="0.3" footer="0.3"/>
</x:worksheet>
</file>